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Stylophora-pistillata-FPs\Raw_Data\Larvae_Release\"/>
    </mc:Choice>
  </mc:AlternateContent>
  <xr:revisionPtr revIDLastSave="0" documentId="13_ncr:1_{0BF2617F-3B5E-4345-B978-F46646013E59}" xr6:coauthVersionLast="47" xr6:coauthVersionMax="47" xr10:uidLastSave="{00000000-0000-0000-0000-000000000000}"/>
  <bookViews>
    <workbookView xWindow="-120" yWindow="-120" windowWidth="38640" windowHeight="21120" activeTab="1" xr2:uid="{04648552-3F89-47B8-B751-87EF3907E17F}"/>
  </bookViews>
  <sheets>
    <sheet name="count" sheetId="2" r:id="rId1"/>
    <sheet name="sum_up" sheetId="1" r:id="rId2"/>
  </sheets>
  <definedNames>
    <definedName name="_xlnm._FilterDatabase" localSheetId="1" hidden="1">sum_up!$A$1:$C$1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B56" i="2"/>
  <c r="B57" i="2" s="1"/>
  <c r="Q57" i="2" l="1"/>
  <c r="H57" i="2"/>
  <c r="N57" i="2"/>
  <c r="W57" i="2"/>
  <c r="E57" i="2"/>
  <c r="T57" i="2"/>
  <c r="K57" i="2"/>
</calcChain>
</file>

<file path=xl/sharedStrings.xml><?xml version="1.0" encoding="utf-8"?>
<sst xmlns="http://schemas.openxmlformats.org/spreadsheetml/2006/main" count="100" uniqueCount="34">
  <si>
    <t>colony</t>
  </si>
  <si>
    <t>A</t>
  </si>
  <si>
    <t>B</t>
  </si>
  <si>
    <t>C</t>
  </si>
  <si>
    <t>HF</t>
  </si>
  <si>
    <t>PF</t>
  </si>
  <si>
    <t>NF</t>
  </si>
  <si>
    <t>D</t>
  </si>
  <si>
    <t>morph</t>
  </si>
  <si>
    <t>E</t>
  </si>
  <si>
    <t>F</t>
  </si>
  <si>
    <t>G</t>
  </si>
  <si>
    <t>H</t>
  </si>
  <si>
    <t>Colony A</t>
  </si>
  <si>
    <t>Colony B</t>
  </si>
  <si>
    <t>Colony C</t>
  </si>
  <si>
    <t>Colony D</t>
  </si>
  <si>
    <t>Colony E</t>
  </si>
  <si>
    <t>Colony F</t>
  </si>
  <si>
    <t>Colony G</t>
  </si>
  <si>
    <t>Colony H</t>
  </si>
  <si>
    <t>Sum per day</t>
  </si>
  <si>
    <t>date</t>
  </si>
  <si>
    <t>Green</t>
  </si>
  <si>
    <t>Half Green</t>
  </si>
  <si>
    <t>Brown</t>
  </si>
  <si>
    <t>comments</t>
  </si>
  <si>
    <t>העברת מושבות H+G לחיפה (במקומם יש סטילופורות משנה שעברה)</t>
  </si>
  <si>
    <t>מלכודות +DC+B נפלו במהלך הלילה</t>
  </si>
  <si>
    <t>sum per color</t>
  </si>
  <si>
    <t>sum per colony</t>
  </si>
  <si>
    <t>total released</t>
  </si>
  <si>
    <t>total</t>
  </si>
  <si>
    <t>% from total coloney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</si>
</sst>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trike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A995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/>
      <diagonal/>
    </border>
    <border>
      <left style="thick">
        <color rgb="FF000000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4" borderId="12" xfId="0" applyFont="1" applyFill="1" applyBorder="1" applyAlignment="1">
      <alignment horizontal="center" wrapText="1"/>
    </xf>
    <xf numFmtId="14" fontId="1" fillId="3" borderId="13" xfId="0" applyNumberFormat="1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wrapText="1"/>
    </xf>
    <xf numFmtId="0" fontId="2" fillId="3" borderId="14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right" wrapText="1"/>
    </xf>
    <xf numFmtId="0" fontId="1" fillId="3" borderId="9" xfId="0" applyFont="1" applyFill="1" applyBorder="1" applyAlignment="1">
      <alignment wrapText="1"/>
    </xf>
    <xf numFmtId="14" fontId="1" fillId="5" borderId="13" xfId="0" applyNumberFormat="1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2" fillId="5" borderId="1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9" xfId="0" applyFont="1" applyFill="1" applyBorder="1" applyAlignment="1">
      <alignment horizontal="right" wrapText="1"/>
    </xf>
    <xf numFmtId="0" fontId="1" fillId="5" borderId="9" xfId="0" applyFont="1" applyFill="1" applyBorder="1" applyAlignment="1">
      <alignment wrapText="1"/>
    </xf>
    <xf numFmtId="0" fontId="1" fillId="3" borderId="9" xfId="0" applyFont="1" applyFill="1" applyBorder="1" applyAlignment="1">
      <alignment horizontal="right" wrapText="1"/>
    </xf>
    <xf numFmtId="0" fontId="1" fillId="5" borderId="9" xfId="0" applyFont="1" applyFill="1" applyBorder="1" applyAlignment="1">
      <alignment horizontal="right" wrapText="1"/>
    </xf>
    <xf numFmtId="0" fontId="1" fillId="6" borderId="14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1355-3D94-4D14-86B6-E3E65C8B447F}">
  <dimension ref="A1:AB58"/>
  <sheetViews>
    <sheetView topLeftCell="A19" workbookViewId="0">
      <selection activeCell="A56" sqref="A56:Y57"/>
    </sheetView>
  </sheetViews>
  <sheetFormatPr defaultRowHeight="15" customHeight="1" x14ac:dyDescent="0.25"/>
  <cols>
    <col min="1" max="1" width="10.140625" bestFit="1" customWidth="1"/>
    <col min="27" max="27" width="58.140625" customWidth="1"/>
  </cols>
  <sheetData>
    <row r="1" spans="1:28" ht="15" customHeight="1" thickTop="1" thickBot="1" x14ac:dyDescent="0.3">
      <c r="A1" s="1"/>
      <c r="B1" s="31" t="s">
        <v>13</v>
      </c>
      <c r="C1" s="32"/>
      <c r="D1" s="33"/>
      <c r="E1" s="31" t="s">
        <v>14</v>
      </c>
      <c r="F1" s="32"/>
      <c r="G1" s="33"/>
      <c r="H1" s="31" t="s">
        <v>15</v>
      </c>
      <c r="I1" s="32"/>
      <c r="J1" s="33"/>
      <c r="K1" s="31" t="s">
        <v>16</v>
      </c>
      <c r="L1" s="32"/>
      <c r="M1" s="33"/>
      <c r="N1" s="31" t="s">
        <v>17</v>
      </c>
      <c r="O1" s="32"/>
      <c r="P1" s="33"/>
      <c r="Q1" s="31" t="s">
        <v>18</v>
      </c>
      <c r="R1" s="32"/>
      <c r="S1" s="33"/>
      <c r="T1" s="31" t="s">
        <v>19</v>
      </c>
      <c r="U1" s="32"/>
      <c r="V1" s="33"/>
      <c r="W1" s="31" t="s">
        <v>20</v>
      </c>
      <c r="X1" s="32"/>
      <c r="Y1" s="33"/>
      <c r="Z1" s="37" t="s">
        <v>21</v>
      </c>
      <c r="AA1" s="2"/>
      <c r="AB1" s="2"/>
    </row>
    <row r="2" spans="1:28" ht="15" customHeight="1" thickBot="1" x14ac:dyDescent="0.3">
      <c r="A2" s="3" t="s">
        <v>22</v>
      </c>
      <c r="B2" s="4" t="s">
        <v>23</v>
      </c>
      <c r="C2" s="5" t="s">
        <v>24</v>
      </c>
      <c r="D2" s="6" t="s">
        <v>25</v>
      </c>
      <c r="E2" s="4" t="s">
        <v>23</v>
      </c>
      <c r="F2" s="5" t="s">
        <v>24</v>
      </c>
      <c r="G2" s="6" t="s">
        <v>25</v>
      </c>
      <c r="H2" s="4" t="s">
        <v>23</v>
      </c>
      <c r="I2" s="5" t="s">
        <v>24</v>
      </c>
      <c r="J2" s="6" t="s">
        <v>25</v>
      </c>
      <c r="K2" s="4" t="s">
        <v>23</v>
      </c>
      <c r="L2" s="5" t="s">
        <v>24</v>
      </c>
      <c r="M2" s="6" t="s">
        <v>25</v>
      </c>
      <c r="N2" s="4" t="s">
        <v>23</v>
      </c>
      <c r="O2" s="5" t="s">
        <v>24</v>
      </c>
      <c r="P2" s="6" t="s">
        <v>25</v>
      </c>
      <c r="Q2" s="4" t="s">
        <v>23</v>
      </c>
      <c r="R2" s="5" t="s">
        <v>24</v>
      </c>
      <c r="S2" s="6" t="s">
        <v>25</v>
      </c>
      <c r="T2" s="4" t="s">
        <v>23</v>
      </c>
      <c r="U2" s="5" t="s">
        <v>24</v>
      </c>
      <c r="V2" s="6" t="s">
        <v>25</v>
      </c>
      <c r="W2" s="4" t="s">
        <v>23</v>
      </c>
      <c r="X2" s="5" t="s">
        <v>24</v>
      </c>
      <c r="Y2" s="6" t="s">
        <v>25</v>
      </c>
      <c r="Z2" s="38"/>
      <c r="AA2" s="2" t="s">
        <v>26</v>
      </c>
      <c r="AB2" s="2"/>
    </row>
    <row r="3" spans="1:28" ht="15" customHeight="1" thickBot="1" x14ac:dyDescent="0.3">
      <c r="A3" s="7">
        <v>45357</v>
      </c>
      <c r="B3" s="8">
        <v>3</v>
      </c>
      <c r="C3" s="9"/>
      <c r="D3" s="10">
        <v>0</v>
      </c>
      <c r="E3" s="8">
        <v>0</v>
      </c>
      <c r="F3" s="8">
        <v>0</v>
      </c>
      <c r="G3" s="10">
        <v>0</v>
      </c>
      <c r="H3" s="8">
        <v>0</v>
      </c>
      <c r="I3" s="8">
        <v>0</v>
      </c>
      <c r="J3" s="11"/>
      <c r="K3" s="9"/>
      <c r="L3" s="9"/>
      <c r="M3" s="11"/>
      <c r="N3" s="9"/>
      <c r="O3" s="9"/>
      <c r="P3" s="11"/>
      <c r="Q3" s="9"/>
      <c r="R3" s="9"/>
      <c r="S3" s="11"/>
      <c r="T3" s="12">
        <v>4</v>
      </c>
      <c r="U3" s="9"/>
      <c r="V3" s="11"/>
      <c r="W3" s="12">
        <v>2</v>
      </c>
      <c r="X3" s="12">
        <v>1</v>
      </c>
      <c r="Y3" s="13">
        <v>1</v>
      </c>
      <c r="Z3" s="14">
        <v>11</v>
      </c>
      <c r="AA3" s="15"/>
      <c r="AB3" s="2"/>
    </row>
    <row r="4" spans="1:28" ht="15" customHeight="1" thickTop="1" thickBot="1" x14ac:dyDescent="0.3">
      <c r="A4" s="16">
        <v>45358</v>
      </c>
      <c r="B4" s="17">
        <v>3</v>
      </c>
      <c r="C4" s="17">
        <v>1</v>
      </c>
      <c r="D4" s="18">
        <v>0</v>
      </c>
      <c r="E4" s="17">
        <v>0</v>
      </c>
      <c r="F4" s="17">
        <v>0</v>
      </c>
      <c r="G4" s="18">
        <v>1</v>
      </c>
      <c r="H4" s="17">
        <v>0</v>
      </c>
      <c r="I4" s="17">
        <v>0</v>
      </c>
      <c r="J4" s="18">
        <v>1</v>
      </c>
      <c r="K4" s="19"/>
      <c r="L4" s="19"/>
      <c r="M4" s="20"/>
      <c r="N4" s="19"/>
      <c r="O4" s="19"/>
      <c r="P4" s="20"/>
      <c r="Q4" s="19"/>
      <c r="R4" s="19"/>
      <c r="S4" s="20"/>
      <c r="T4" s="21">
        <v>4</v>
      </c>
      <c r="U4" s="21">
        <v>2</v>
      </c>
      <c r="V4" s="22">
        <v>4</v>
      </c>
      <c r="W4" s="21">
        <v>1</v>
      </c>
      <c r="X4" s="21">
        <v>1</v>
      </c>
      <c r="Y4" s="22">
        <v>1</v>
      </c>
      <c r="Z4" s="23">
        <v>19</v>
      </c>
      <c r="AA4" s="24"/>
      <c r="AB4" s="2"/>
    </row>
    <row r="5" spans="1:28" ht="15" customHeight="1" thickTop="1" thickBot="1" x14ac:dyDescent="0.3">
      <c r="A5" s="7">
        <v>45359</v>
      </c>
      <c r="B5" s="9"/>
      <c r="C5" s="9"/>
      <c r="D5" s="10">
        <v>0</v>
      </c>
      <c r="E5" s="8">
        <v>2</v>
      </c>
      <c r="F5" s="8">
        <v>0</v>
      </c>
      <c r="G5" s="10">
        <v>0</v>
      </c>
      <c r="H5" s="8">
        <v>6</v>
      </c>
      <c r="I5" s="8">
        <v>3</v>
      </c>
      <c r="J5" s="10">
        <v>1</v>
      </c>
      <c r="K5" s="8">
        <v>5</v>
      </c>
      <c r="L5" s="8">
        <v>2</v>
      </c>
      <c r="M5" s="11"/>
      <c r="N5" s="9"/>
      <c r="O5" s="9"/>
      <c r="P5" s="11"/>
      <c r="Q5" s="9"/>
      <c r="R5" s="9"/>
      <c r="S5" s="11"/>
      <c r="T5" s="9"/>
      <c r="U5" s="9"/>
      <c r="V5" s="11"/>
      <c r="W5" s="9"/>
      <c r="X5" s="9"/>
      <c r="Y5" s="11"/>
      <c r="Z5" s="25">
        <v>19</v>
      </c>
      <c r="AA5" s="25" t="s">
        <v>27</v>
      </c>
      <c r="AB5" s="2"/>
    </row>
    <row r="6" spans="1:28" ht="15" customHeight="1" thickTop="1" thickBot="1" x14ac:dyDescent="0.3">
      <c r="A6" s="16">
        <v>45360</v>
      </c>
      <c r="B6" s="19"/>
      <c r="C6" s="19"/>
      <c r="D6" s="20"/>
      <c r="E6" s="19"/>
      <c r="F6" s="17">
        <v>5</v>
      </c>
      <c r="G6" s="20"/>
      <c r="H6" s="17">
        <v>2</v>
      </c>
      <c r="I6" s="17">
        <v>4</v>
      </c>
      <c r="J6" s="18">
        <v>2</v>
      </c>
      <c r="K6" s="19"/>
      <c r="L6" s="19"/>
      <c r="M6" s="18">
        <v>1</v>
      </c>
      <c r="N6" s="19"/>
      <c r="O6" s="19"/>
      <c r="P6" s="20"/>
      <c r="Q6" s="19"/>
      <c r="R6" s="19"/>
      <c r="S6" s="20"/>
      <c r="T6" s="19"/>
      <c r="U6" s="19"/>
      <c r="V6" s="20"/>
      <c r="W6" s="19"/>
      <c r="X6" s="19"/>
      <c r="Y6" s="20"/>
      <c r="Z6" s="26">
        <v>14</v>
      </c>
      <c r="AA6" s="24"/>
      <c r="AB6" s="2"/>
    </row>
    <row r="7" spans="1:28" ht="15" customHeight="1" thickTop="1" thickBot="1" x14ac:dyDescent="0.3">
      <c r="A7" s="7">
        <v>45361</v>
      </c>
      <c r="B7" s="8">
        <v>5</v>
      </c>
      <c r="C7" s="8">
        <v>6</v>
      </c>
      <c r="D7" s="10">
        <v>0</v>
      </c>
      <c r="E7" s="8">
        <v>1</v>
      </c>
      <c r="F7" s="8">
        <v>0</v>
      </c>
      <c r="G7" s="10">
        <v>0</v>
      </c>
      <c r="H7" s="8">
        <v>1</v>
      </c>
      <c r="I7" s="8">
        <v>3</v>
      </c>
      <c r="J7" s="10">
        <v>2</v>
      </c>
      <c r="K7" s="9"/>
      <c r="L7" s="9"/>
      <c r="M7" s="11"/>
      <c r="N7" s="9"/>
      <c r="O7" s="9"/>
      <c r="P7" s="11"/>
      <c r="Q7" s="9"/>
      <c r="R7" s="9"/>
      <c r="S7" s="11"/>
      <c r="T7" s="9"/>
      <c r="U7" s="9"/>
      <c r="V7" s="11"/>
      <c r="W7" s="9"/>
      <c r="X7" s="9"/>
      <c r="Y7" s="11"/>
      <c r="Z7" s="25">
        <v>18</v>
      </c>
      <c r="AA7" s="15"/>
      <c r="AB7" s="2"/>
    </row>
    <row r="8" spans="1:28" ht="15" customHeight="1" thickTop="1" thickBot="1" x14ac:dyDescent="0.3">
      <c r="A8" s="16">
        <v>45362</v>
      </c>
      <c r="B8" s="17">
        <v>19</v>
      </c>
      <c r="C8" s="17">
        <v>6</v>
      </c>
      <c r="D8" s="18">
        <v>0</v>
      </c>
      <c r="E8" s="17">
        <v>0</v>
      </c>
      <c r="F8" s="17">
        <v>0</v>
      </c>
      <c r="G8" s="18">
        <v>0</v>
      </c>
      <c r="H8" s="17">
        <v>7</v>
      </c>
      <c r="I8" s="17">
        <v>1</v>
      </c>
      <c r="J8" s="18">
        <v>1</v>
      </c>
      <c r="K8" s="17">
        <v>4</v>
      </c>
      <c r="L8" s="17">
        <v>1</v>
      </c>
      <c r="M8" s="20"/>
      <c r="N8" s="19"/>
      <c r="O8" s="19"/>
      <c r="P8" s="20"/>
      <c r="Q8" s="17">
        <v>1</v>
      </c>
      <c r="R8" s="19"/>
      <c r="S8" s="20"/>
      <c r="T8" s="19"/>
      <c r="U8" s="19"/>
      <c r="V8" s="20"/>
      <c r="W8" s="19"/>
      <c r="X8" s="19"/>
      <c r="Y8" s="20"/>
      <c r="Z8" s="26">
        <v>40</v>
      </c>
      <c r="AA8" s="24"/>
      <c r="AB8" s="2"/>
    </row>
    <row r="9" spans="1:28" ht="15" customHeight="1" thickTop="1" thickBot="1" x14ac:dyDescent="0.3">
      <c r="A9" s="7">
        <v>45363</v>
      </c>
      <c r="B9" s="27">
        <v>15</v>
      </c>
      <c r="C9" s="8">
        <v>3</v>
      </c>
      <c r="D9" s="10">
        <v>0</v>
      </c>
      <c r="E9" s="8">
        <v>1</v>
      </c>
      <c r="F9" s="8">
        <v>0</v>
      </c>
      <c r="G9" s="10">
        <v>0</v>
      </c>
      <c r="H9" s="8">
        <v>4</v>
      </c>
      <c r="I9" s="8">
        <v>1</v>
      </c>
      <c r="J9" s="10">
        <v>1</v>
      </c>
      <c r="K9" s="9"/>
      <c r="L9" s="9"/>
      <c r="M9" s="11"/>
      <c r="N9" s="9"/>
      <c r="O9" s="9"/>
      <c r="P9" s="11"/>
      <c r="Q9" s="9"/>
      <c r="R9" s="9"/>
      <c r="S9" s="11"/>
      <c r="T9" s="9"/>
      <c r="U9" s="9"/>
      <c r="V9" s="11"/>
      <c r="W9" s="9"/>
      <c r="X9" s="9"/>
      <c r="Y9" s="11"/>
      <c r="Z9" s="25">
        <v>25</v>
      </c>
      <c r="AA9" s="15"/>
      <c r="AB9" s="2"/>
    </row>
    <row r="10" spans="1:28" ht="15" customHeight="1" thickTop="1" thickBot="1" x14ac:dyDescent="0.3">
      <c r="A10" s="16">
        <v>45364</v>
      </c>
      <c r="B10" s="17">
        <v>5</v>
      </c>
      <c r="C10" s="17">
        <v>1</v>
      </c>
      <c r="D10" s="18">
        <v>0</v>
      </c>
      <c r="E10" s="17">
        <v>0</v>
      </c>
      <c r="F10" s="17">
        <v>0</v>
      </c>
      <c r="G10" s="18">
        <v>1</v>
      </c>
      <c r="H10" s="17">
        <v>6</v>
      </c>
      <c r="I10" s="17">
        <v>0</v>
      </c>
      <c r="J10" s="18">
        <v>2</v>
      </c>
      <c r="K10" s="17">
        <v>1</v>
      </c>
      <c r="L10" s="19"/>
      <c r="M10" s="20"/>
      <c r="N10" s="19"/>
      <c r="O10" s="17">
        <v>1</v>
      </c>
      <c r="P10" s="20"/>
      <c r="Q10" s="19"/>
      <c r="R10" s="19"/>
      <c r="S10" s="20"/>
      <c r="T10" s="19"/>
      <c r="U10" s="19"/>
      <c r="V10" s="20"/>
      <c r="W10" s="19"/>
      <c r="X10" s="19"/>
      <c r="Y10" s="20"/>
      <c r="Z10" s="26">
        <v>17</v>
      </c>
      <c r="AA10" s="24"/>
      <c r="AB10" s="2"/>
    </row>
    <row r="11" spans="1:28" ht="15" customHeight="1" thickTop="1" thickBot="1" x14ac:dyDescent="0.3">
      <c r="A11" s="7">
        <v>45365</v>
      </c>
      <c r="B11" s="8">
        <v>8</v>
      </c>
      <c r="C11" s="9"/>
      <c r="D11" s="10">
        <v>1</v>
      </c>
      <c r="E11" s="8">
        <v>1</v>
      </c>
      <c r="F11" s="9"/>
      <c r="G11" s="11"/>
      <c r="H11" s="9"/>
      <c r="I11" s="9"/>
      <c r="J11" s="11"/>
      <c r="K11" s="8">
        <v>4</v>
      </c>
      <c r="L11" s="9"/>
      <c r="M11" s="11"/>
      <c r="N11" s="9"/>
      <c r="O11" s="9"/>
      <c r="P11" s="11"/>
      <c r="Q11" s="9"/>
      <c r="R11" s="9"/>
      <c r="S11" s="11"/>
      <c r="T11" s="9"/>
      <c r="U11" s="9"/>
      <c r="V11" s="11"/>
      <c r="W11" s="9"/>
      <c r="X11" s="9"/>
      <c r="Y11" s="11"/>
      <c r="Z11" s="25">
        <v>14</v>
      </c>
      <c r="AA11" s="15"/>
      <c r="AB11" s="2"/>
    </row>
    <row r="12" spans="1:28" ht="15" customHeight="1" thickTop="1" thickBot="1" x14ac:dyDescent="0.3">
      <c r="A12" s="16">
        <v>45366</v>
      </c>
      <c r="B12" s="17">
        <v>3</v>
      </c>
      <c r="C12" s="17">
        <v>6</v>
      </c>
      <c r="D12" s="18">
        <v>1</v>
      </c>
      <c r="E12" s="19"/>
      <c r="F12" s="19"/>
      <c r="G12" s="20"/>
      <c r="H12" s="17">
        <v>3</v>
      </c>
      <c r="I12" s="27">
        <v>13</v>
      </c>
      <c r="J12" s="18">
        <v>5</v>
      </c>
      <c r="K12" s="17">
        <v>1</v>
      </c>
      <c r="L12" s="17">
        <v>1</v>
      </c>
      <c r="M12" s="20"/>
      <c r="N12" s="19"/>
      <c r="O12" s="19"/>
      <c r="P12" s="20"/>
      <c r="Q12" s="19"/>
      <c r="R12" s="19"/>
      <c r="S12" s="20"/>
      <c r="T12" s="19"/>
      <c r="U12" s="19"/>
      <c r="V12" s="20"/>
      <c r="W12" s="19"/>
      <c r="X12" s="19"/>
      <c r="Y12" s="20"/>
      <c r="Z12" s="26">
        <v>33</v>
      </c>
      <c r="AA12" s="24"/>
      <c r="AB12" s="2"/>
    </row>
    <row r="13" spans="1:28" ht="15" customHeight="1" thickTop="1" thickBot="1" x14ac:dyDescent="0.3">
      <c r="A13" s="7">
        <v>45367</v>
      </c>
      <c r="B13" s="8">
        <v>6</v>
      </c>
      <c r="C13" s="8">
        <v>6</v>
      </c>
      <c r="D13" s="11"/>
      <c r="E13" s="8">
        <v>1</v>
      </c>
      <c r="F13" s="9"/>
      <c r="G13" s="11"/>
      <c r="H13" s="8">
        <v>4</v>
      </c>
      <c r="I13" s="27">
        <v>15</v>
      </c>
      <c r="J13" s="10">
        <v>2</v>
      </c>
      <c r="K13" s="8">
        <v>1</v>
      </c>
      <c r="L13" s="9"/>
      <c r="M13" s="11"/>
      <c r="N13" s="9"/>
      <c r="O13" s="9"/>
      <c r="P13" s="11"/>
      <c r="Q13" s="9"/>
      <c r="R13" s="9"/>
      <c r="S13" s="11"/>
      <c r="T13" s="9"/>
      <c r="U13" s="9"/>
      <c r="V13" s="11"/>
      <c r="W13" s="9"/>
      <c r="X13" s="9"/>
      <c r="Y13" s="11"/>
      <c r="Z13" s="25">
        <v>35</v>
      </c>
      <c r="AA13" s="15"/>
      <c r="AB13" s="2"/>
    </row>
    <row r="14" spans="1:28" ht="15" customHeight="1" thickTop="1" thickBot="1" x14ac:dyDescent="0.3">
      <c r="A14" s="16">
        <v>45368</v>
      </c>
      <c r="B14" s="19"/>
      <c r="C14" s="19"/>
      <c r="D14" s="20"/>
      <c r="E14" s="19"/>
      <c r="F14" s="19"/>
      <c r="G14" s="20"/>
      <c r="H14" s="17">
        <v>4</v>
      </c>
      <c r="I14" s="17">
        <v>1</v>
      </c>
      <c r="J14" s="18">
        <v>1</v>
      </c>
      <c r="K14" s="17">
        <v>2</v>
      </c>
      <c r="L14" s="19"/>
      <c r="M14" s="20"/>
      <c r="N14" s="19"/>
      <c r="O14" s="19"/>
      <c r="P14" s="20"/>
      <c r="Q14" s="19"/>
      <c r="R14" s="19"/>
      <c r="S14" s="20"/>
      <c r="T14" s="19"/>
      <c r="U14" s="19"/>
      <c r="V14" s="20"/>
      <c r="W14" s="19"/>
      <c r="X14" s="19"/>
      <c r="Y14" s="20"/>
      <c r="Z14" s="26">
        <v>8</v>
      </c>
      <c r="AA14" s="24"/>
      <c r="AB14" s="2"/>
    </row>
    <row r="15" spans="1:28" ht="15" customHeight="1" thickTop="1" thickBot="1" x14ac:dyDescent="0.3">
      <c r="A15" s="7">
        <v>45369</v>
      </c>
      <c r="B15" s="8">
        <v>8</v>
      </c>
      <c r="C15" s="8">
        <v>10</v>
      </c>
      <c r="D15" s="11"/>
      <c r="E15" s="9"/>
      <c r="F15" s="9"/>
      <c r="G15" s="11"/>
      <c r="H15" s="8">
        <v>19</v>
      </c>
      <c r="I15" s="8">
        <v>38</v>
      </c>
      <c r="J15" s="10">
        <v>30</v>
      </c>
      <c r="K15" s="8">
        <v>1</v>
      </c>
      <c r="L15" s="8">
        <v>3</v>
      </c>
      <c r="M15" s="10">
        <v>4</v>
      </c>
      <c r="N15" s="9"/>
      <c r="O15" s="9"/>
      <c r="P15" s="11"/>
      <c r="Q15" s="9"/>
      <c r="R15" s="9"/>
      <c r="S15" s="11"/>
      <c r="T15" s="9"/>
      <c r="U15" s="9"/>
      <c r="V15" s="11"/>
      <c r="W15" s="9"/>
      <c r="X15" s="9"/>
      <c r="Y15" s="11"/>
      <c r="Z15" s="25">
        <v>113</v>
      </c>
      <c r="AA15" s="15"/>
      <c r="AB15" s="2"/>
    </row>
    <row r="16" spans="1:28" ht="15" customHeight="1" thickTop="1" thickBot="1" x14ac:dyDescent="0.3">
      <c r="A16" s="16">
        <v>45370</v>
      </c>
      <c r="B16" s="17">
        <v>5</v>
      </c>
      <c r="C16" s="17">
        <v>1</v>
      </c>
      <c r="D16" s="20"/>
      <c r="E16" s="17">
        <v>1</v>
      </c>
      <c r="F16" s="19"/>
      <c r="G16" s="20"/>
      <c r="H16" s="17">
        <v>64</v>
      </c>
      <c r="I16" s="17">
        <v>10</v>
      </c>
      <c r="J16" s="18">
        <v>11</v>
      </c>
      <c r="K16" s="19"/>
      <c r="L16" s="19"/>
      <c r="M16" s="20"/>
      <c r="N16" s="19"/>
      <c r="O16" s="19"/>
      <c r="P16" s="20"/>
      <c r="Q16" s="19"/>
      <c r="R16" s="19"/>
      <c r="S16" s="20"/>
      <c r="T16" s="19"/>
      <c r="U16" s="19"/>
      <c r="V16" s="20"/>
      <c r="W16" s="17">
        <v>1</v>
      </c>
      <c r="X16" s="19"/>
      <c r="Y16" s="20"/>
      <c r="Z16" s="26">
        <v>93</v>
      </c>
      <c r="AA16" s="24"/>
      <c r="AB16" s="2"/>
    </row>
    <row r="17" spans="1:28" ht="15" customHeight="1" thickTop="1" thickBot="1" x14ac:dyDescent="0.3">
      <c r="A17" s="7">
        <v>45371</v>
      </c>
      <c r="B17" s="8">
        <v>1</v>
      </c>
      <c r="C17" s="8">
        <v>8</v>
      </c>
      <c r="D17" s="10">
        <v>3</v>
      </c>
      <c r="E17" s="8">
        <v>1</v>
      </c>
      <c r="F17" s="9"/>
      <c r="G17" s="11"/>
      <c r="H17" s="8">
        <v>72</v>
      </c>
      <c r="I17" s="8">
        <v>152</v>
      </c>
      <c r="J17" s="10">
        <v>86</v>
      </c>
      <c r="K17" s="9"/>
      <c r="L17" s="8">
        <v>4</v>
      </c>
      <c r="M17" s="11"/>
      <c r="N17" s="9"/>
      <c r="O17" s="9"/>
      <c r="P17" s="11"/>
      <c r="Q17" s="9"/>
      <c r="R17" s="9"/>
      <c r="S17" s="11"/>
      <c r="T17" s="9"/>
      <c r="U17" s="9"/>
      <c r="V17" s="11"/>
      <c r="W17" s="9"/>
      <c r="X17" s="9"/>
      <c r="Y17" s="11"/>
      <c r="Z17" s="25">
        <v>327</v>
      </c>
      <c r="AA17" s="15"/>
      <c r="AB17" s="2"/>
    </row>
    <row r="18" spans="1:28" ht="15" customHeight="1" thickTop="1" thickBot="1" x14ac:dyDescent="0.3">
      <c r="A18" s="16">
        <v>45372</v>
      </c>
      <c r="B18" s="17">
        <v>5</v>
      </c>
      <c r="C18" s="19"/>
      <c r="D18" s="20"/>
      <c r="E18" s="19"/>
      <c r="F18" s="19"/>
      <c r="G18" s="20"/>
      <c r="H18" s="17">
        <v>4</v>
      </c>
      <c r="I18" s="17">
        <v>2</v>
      </c>
      <c r="J18" s="18">
        <v>3</v>
      </c>
      <c r="K18" s="17">
        <v>3</v>
      </c>
      <c r="L18" s="19"/>
      <c r="M18" s="18">
        <v>1</v>
      </c>
      <c r="N18" s="19"/>
      <c r="O18" s="19"/>
      <c r="P18" s="20"/>
      <c r="Q18" s="19"/>
      <c r="R18" s="19"/>
      <c r="S18" s="20"/>
      <c r="T18" s="19"/>
      <c r="U18" s="19"/>
      <c r="V18" s="20"/>
      <c r="W18" s="19"/>
      <c r="X18" s="19"/>
      <c r="Y18" s="20"/>
      <c r="Z18" s="26">
        <v>18</v>
      </c>
      <c r="AA18" s="24"/>
      <c r="AB18" s="2"/>
    </row>
    <row r="19" spans="1:28" ht="15" customHeight="1" thickTop="1" thickBot="1" x14ac:dyDescent="0.3">
      <c r="A19" s="7">
        <v>45373</v>
      </c>
      <c r="B19" s="8">
        <v>8</v>
      </c>
      <c r="C19" s="9"/>
      <c r="D19" s="11"/>
      <c r="E19" s="8">
        <v>3</v>
      </c>
      <c r="F19" s="9"/>
      <c r="G19" s="10">
        <v>1</v>
      </c>
      <c r="H19" s="8">
        <v>26</v>
      </c>
      <c r="I19" s="8">
        <v>20</v>
      </c>
      <c r="J19" s="10">
        <v>5</v>
      </c>
      <c r="K19" s="8">
        <v>2</v>
      </c>
      <c r="L19" s="8">
        <v>2</v>
      </c>
      <c r="M19" s="11"/>
      <c r="N19" s="9"/>
      <c r="O19" s="9"/>
      <c r="P19" s="11"/>
      <c r="Q19" s="9"/>
      <c r="R19" s="9"/>
      <c r="S19" s="11"/>
      <c r="T19" s="9"/>
      <c r="U19" s="9"/>
      <c r="V19" s="11"/>
      <c r="W19" s="9"/>
      <c r="X19" s="9"/>
      <c r="Y19" s="11"/>
      <c r="Z19" s="25">
        <v>67</v>
      </c>
      <c r="AA19" s="15"/>
      <c r="AB19" s="2"/>
    </row>
    <row r="20" spans="1:28" ht="15" customHeight="1" thickTop="1" thickBot="1" x14ac:dyDescent="0.3">
      <c r="A20" s="16">
        <v>45374</v>
      </c>
      <c r="B20" s="17">
        <v>7</v>
      </c>
      <c r="C20" s="17">
        <v>2</v>
      </c>
      <c r="D20" s="20"/>
      <c r="E20" s="17">
        <v>4</v>
      </c>
      <c r="F20" s="19"/>
      <c r="G20" s="20"/>
      <c r="H20" s="17">
        <v>62</v>
      </c>
      <c r="I20" s="17">
        <v>69</v>
      </c>
      <c r="J20" s="18">
        <v>25</v>
      </c>
      <c r="K20" s="19"/>
      <c r="L20" s="19"/>
      <c r="M20" s="20"/>
      <c r="N20" s="19"/>
      <c r="O20" s="19"/>
      <c r="P20" s="20"/>
      <c r="Q20" s="19"/>
      <c r="R20" s="19"/>
      <c r="S20" s="20"/>
      <c r="T20" s="19"/>
      <c r="U20" s="19"/>
      <c r="V20" s="20"/>
      <c r="W20" s="19"/>
      <c r="X20" s="19"/>
      <c r="Y20" s="20"/>
      <c r="Z20" s="26">
        <v>169</v>
      </c>
      <c r="AA20" s="24"/>
      <c r="AB20" s="2"/>
    </row>
    <row r="21" spans="1:28" ht="15" customHeight="1" thickTop="1" thickBot="1" x14ac:dyDescent="0.3">
      <c r="A21" s="7">
        <v>45375</v>
      </c>
      <c r="B21" s="8">
        <v>5</v>
      </c>
      <c r="C21" s="8">
        <v>11</v>
      </c>
      <c r="D21" s="10">
        <v>1</v>
      </c>
      <c r="E21" s="9"/>
      <c r="F21" s="9"/>
      <c r="G21" s="10">
        <v>1</v>
      </c>
      <c r="H21" s="8">
        <v>60</v>
      </c>
      <c r="I21" s="8">
        <v>125</v>
      </c>
      <c r="J21" s="10">
        <v>41</v>
      </c>
      <c r="K21" s="8">
        <v>2</v>
      </c>
      <c r="L21" s="9"/>
      <c r="M21" s="11"/>
      <c r="N21" s="9"/>
      <c r="O21" s="9"/>
      <c r="P21" s="11"/>
      <c r="Q21" s="9"/>
      <c r="R21" s="9"/>
      <c r="S21" s="11"/>
      <c r="T21" s="9"/>
      <c r="U21" s="9"/>
      <c r="V21" s="11"/>
      <c r="W21" s="9"/>
      <c r="X21" s="9"/>
      <c r="Y21" s="11"/>
      <c r="Z21" s="25">
        <v>246</v>
      </c>
      <c r="AA21" s="15"/>
      <c r="AB21" s="2"/>
    </row>
    <row r="22" spans="1:28" ht="15" customHeight="1" thickTop="1" thickBot="1" x14ac:dyDescent="0.3">
      <c r="A22" s="16">
        <v>45376</v>
      </c>
      <c r="B22" s="17">
        <v>7</v>
      </c>
      <c r="C22" s="17">
        <v>7</v>
      </c>
      <c r="D22" s="18">
        <v>1</v>
      </c>
      <c r="E22" s="19"/>
      <c r="F22" s="17">
        <v>4</v>
      </c>
      <c r="G22" s="18">
        <v>2</v>
      </c>
      <c r="H22" s="17">
        <v>58</v>
      </c>
      <c r="I22" s="17">
        <v>67</v>
      </c>
      <c r="J22" s="18">
        <v>18</v>
      </c>
      <c r="K22" s="17">
        <v>1</v>
      </c>
      <c r="L22" s="17">
        <v>6</v>
      </c>
      <c r="M22" s="18">
        <v>3</v>
      </c>
      <c r="N22" s="19"/>
      <c r="O22" s="19"/>
      <c r="P22" s="20"/>
      <c r="Q22" s="19"/>
      <c r="R22" s="17">
        <v>1</v>
      </c>
      <c r="S22" s="20"/>
      <c r="T22" s="19"/>
      <c r="U22" s="19"/>
      <c r="V22" s="20"/>
      <c r="W22" s="19"/>
      <c r="X22" s="19"/>
      <c r="Y22" s="20"/>
      <c r="Z22" s="26">
        <v>175</v>
      </c>
      <c r="AA22" s="24"/>
      <c r="AB22" s="2"/>
    </row>
    <row r="23" spans="1:28" ht="15" customHeight="1" thickTop="1" thickBot="1" x14ac:dyDescent="0.3">
      <c r="A23" s="7">
        <v>45377</v>
      </c>
      <c r="B23" s="8">
        <v>5</v>
      </c>
      <c r="C23" s="8">
        <v>5</v>
      </c>
      <c r="D23" s="10">
        <v>1</v>
      </c>
      <c r="E23" s="9"/>
      <c r="F23" s="8">
        <v>1</v>
      </c>
      <c r="G23" s="11"/>
      <c r="H23" s="8">
        <v>9</v>
      </c>
      <c r="I23" s="8">
        <v>57</v>
      </c>
      <c r="J23" s="10">
        <v>7</v>
      </c>
      <c r="K23" s="8">
        <v>8</v>
      </c>
      <c r="L23" s="8">
        <v>7</v>
      </c>
      <c r="M23" s="11"/>
      <c r="N23" s="9"/>
      <c r="O23" s="9"/>
      <c r="P23" s="11"/>
      <c r="Q23" s="9"/>
      <c r="R23" s="9"/>
      <c r="S23" s="11"/>
      <c r="T23" s="9"/>
      <c r="U23" s="9"/>
      <c r="V23" s="11"/>
      <c r="W23" s="9"/>
      <c r="X23" s="9"/>
      <c r="Y23" s="11"/>
      <c r="Z23" s="25">
        <v>100</v>
      </c>
      <c r="AA23" s="15"/>
      <c r="AB23" s="2"/>
    </row>
    <row r="24" spans="1:28" ht="15" customHeight="1" thickTop="1" thickBot="1" x14ac:dyDescent="0.3">
      <c r="A24" s="16">
        <v>45378</v>
      </c>
      <c r="B24" s="17">
        <v>3</v>
      </c>
      <c r="C24" s="17">
        <v>36</v>
      </c>
      <c r="D24" s="18">
        <v>7</v>
      </c>
      <c r="E24" s="19"/>
      <c r="F24" s="17">
        <v>3</v>
      </c>
      <c r="G24" s="20"/>
      <c r="H24" s="17">
        <v>58</v>
      </c>
      <c r="I24" s="17">
        <v>114</v>
      </c>
      <c r="J24" s="18">
        <v>46</v>
      </c>
      <c r="K24" s="19"/>
      <c r="L24" s="17">
        <v>4</v>
      </c>
      <c r="M24" s="20"/>
      <c r="N24" s="17">
        <v>1</v>
      </c>
      <c r="O24" s="19"/>
      <c r="P24" s="20"/>
      <c r="Q24" s="17">
        <v>3</v>
      </c>
      <c r="R24" s="19"/>
      <c r="S24" s="20"/>
      <c r="T24" s="19"/>
      <c r="U24" s="19"/>
      <c r="V24" s="20"/>
      <c r="W24" s="19"/>
      <c r="X24" s="19"/>
      <c r="Y24" s="20"/>
      <c r="Z24" s="26">
        <v>275</v>
      </c>
      <c r="AA24" s="24"/>
      <c r="AB24" s="2"/>
    </row>
    <row r="25" spans="1:28" ht="15" customHeight="1" thickTop="1" thickBot="1" x14ac:dyDescent="0.3">
      <c r="A25" s="7">
        <v>45379</v>
      </c>
      <c r="B25" s="8">
        <v>13</v>
      </c>
      <c r="C25" s="8">
        <v>12</v>
      </c>
      <c r="D25" s="10">
        <v>4</v>
      </c>
      <c r="E25" s="9"/>
      <c r="F25" s="8">
        <v>3</v>
      </c>
      <c r="G25" s="11"/>
      <c r="H25" s="8">
        <v>21</v>
      </c>
      <c r="I25" s="8">
        <v>43</v>
      </c>
      <c r="J25" s="10">
        <v>19</v>
      </c>
      <c r="K25" s="9"/>
      <c r="L25" s="9"/>
      <c r="M25" s="11"/>
      <c r="N25" s="9"/>
      <c r="O25" s="9"/>
      <c r="P25" s="11"/>
      <c r="Q25" s="8">
        <v>1</v>
      </c>
      <c r="R25" s="9"/>
      <c r="S25" s="10">
        <v>1</v>
      </c>
      <c r="T25" s="9"/>
      <c r="U25" s="9"/>
      <c r="V25" s="11"/>
      <c r="W25" s="8">
        <v>1</v>
      </c>
      <c r="X25" s="9"/>
      <c r="Y25" s="11"/>
      <c r="Z25" s="25">
        <v>118</v>
      </c>
      <c r="AA25" s="15"/>
      <c r="AB25" s="2"/>
    </row>
    <row r="26" spans="1:28" ht="15" customHeight="1" thickTop="1" thickBot="1" x14ac:dyDescent="0.3">
      <c r="A26" s="16">
        <v>45380</v>
      </c>
      <c r="B26" s="17">
        <v>11</v>
      </c>
      <c r="C26" s="17">
        <v>21</v>
      </c>
      <c r="D26" s="18">
        <v>2</v>
      </c>
      <c r="E26" s="17">
        <v>4</v>
      </c>
      <c r="F26" s="19"/>
      <c r="G26" s="20"/>
      <c r="H26" s="17">
        <v>21</v>
      </c>
      <c r="I26" s="17">
        <v>35</v>
      </c>
      <c r="J26" s="18">
        <v>22</v>
      </c>
      <c r="K26" s="17">
        <v>10</v>
      </c>
      <c r="L26" s="17">
        <v>3</v>
      </c>
      <c r="M26" s="20"/>
      <c r="N26" s="17">
        <v>2</v>
      </c>
      <c r="O26" s="17">
        <v>1</v>
      </c>
      <c r="P26" s="20"/>
      <c r="Q26" s="17">
        <v>4</v>
      </c>
      <c r="R26" s="17">
        <v>3</v>
      </c>
      <c r="S26" s="20"/>
      <c r="T26" s="19"/>
      <c r="U26" s="19"/>
      <c r="V26" s="20"/>
      <c r="W26" s="19"/>
      <c r="X26" s="19"/>
      <c r="Y26" s="20"/>
      <c r="Z26" s="26">
        <v>139</v>
      </c>
      <c r="AA26" s="24"/>
      <c r="AB26" s="2"/>
    </row>
    <row r="27" spans="1:28" ht="15" customHeight="1" thickTop="1" thickBot="1" x14ac:dyDescent="0.3">
      <c r="A27" s="7">
        <v>45381</v>
      </c>
      <c r="B27" s="8">
        <v>3</v>
      </c>
      <c r="C27" s="8">
        <v>7</v>
      </c>
      <c r="D27" s="11"/>
      <c r="E27" s="9"/>
      <c r="F27" s="9"/>
      <c r="G27" s="11"/>
      <c r="H27" s="9"/>
      <c r="I27" s="9"/>
      <c r="J27" s="11"/>
      <c r="K27" s="8">
        <v>2</v>
      </c>
      <c r="L27" s="9"/>
      <c r="M27" s="11"/>
      <c r="N27" s="9"/>
      <c r="O27" s="8">
        <v>1</v>
      </c>
      <c r="P27" s="11"/>
      <c r="Q27" s="9"/>
      <c r="R27" s="8">
        <v>2</v>
      </c>
      <c r="S27" s="10">
        <v>1</v>
      </c>
      <c r="T27" s="9"/>
      <c r="U27" s="9"/>
      <c r="V27" s="11"/>
      <c r="W27" s="9"/>
      <c r="X27" s="9"/>
      <c r="Y27" s="11"/>
      <c r="Z27" s="25">
        <v>16</v>
      </c>
      <c r="AA27" s="25" t="s">
        <v>28</v>
      </c>
      <c r="AB27" s="2"/>
    </row>
    <row r="28" spans="1:28" ht="15" customHeight="1" thickTop="1" thickBot="1" x14ac:dyDescent="0.3">
      <c r="A28" s="16">
        <v>45382</v>
      </c>
      <c r="B28" s="17">
        <v>15</v>
      </c>
      <c r="C28" s="17">
        <v>4</v>
      </c>
      <c r="D28" s="18">
        <v>0</v>
      </c>
      <c r="E28" s="17">
        <v>1</v>
      </c>
      <c r="F28" s="17">
        <v>1</v>
      </c>
      <c r="G28" s="20"/>
      <c r="H28" s="17">
        <v>14</v>
      </c>
      <c r="I28" s="17">
        <v>2</v>
      </c>
      <c r="J28" s="18">
        <v>6</v>
      </c>
      <c r="K28" s="19"/>
      <c r="L28" s="17">
        <v>3</v>
      </c>
      <c r="M28" s="20"/>
      <c r="N28" s="19"/>
      <c r="O28" s="19"/>
      <c r="P28" s="20"/>
      <c r="Q28" s="17">
        <v>6</v>
      </c>
      <c r="R28" s="19"/>
      <c r="S28" s="20"/>
      <c r="T28" s="19"/>
      <c r="U28" s="19"/>
      <c r="V28" s="20"/>
      <c r="W28" s="19"/>
      <c r="X28" s="19"/>
      <c r="Y28" s="20"/>
      <c r="Z28" s="26">
        <v>52</v>
      </c>
      <c r="AA28" s="24"/>
      <c r="AB28" s="2"/>
    </row>
    <row r="29" spans="1:28" ht="15" customHeight="1" thickTop="1" thickBot="1" x14ac:dyDescent="0.3">
      <c r="A29" s="7">
        <v>45383</v>
      </c>
      <c r="B29" s="8">
        <v>8</v>
      </c>
      <c r="C29" s="8">
        <v>6</v>
      </c>
      <c r="D29" s="10">
        <v>4</v>
      </c>
      <c r="E29" s="8">
        <v>1</v>
      </c>
      <c r="F29" s="8">
        <v>0</v>
      </c>
      <c r="G29" s="10">
        <v>4</v>
      </c>
      <c r="H29" s="8">
        <v>30</v>
      </c>
      <c r="I29" s="8">
        <v>38</v>
      </c>
      <c r="J29" s="10">
        <v>92</v>
      </c>
      <c r="K29" s="8">
        <v>5</v>
      </c>
      <c r="L29" s="9"/>
      <c r="M29" s="11"/>
      <c r="N29" s="9"/>
      <c r="O29" s="9"/>
      <c r="P29" s="11"/>
      <c r="Q29" s="8">
        <v>1</v>
      </c>
      <c r="R29" s="9"/>
      <c r="S29" s="10">
        <v>2</v>
      </c>
      <c r="T29" s="9"/>
      <c r="U29" s="9"/>
      <c r="V29" s="11"/>
      <c r="W29" s="9"/>
      <c r="X29" s="9"/>
      <c r="Y29" s="11"/>
      <c r="Z29" s="25">
        <v>191</v>
      </c>
      <c r="AA29" s="15"/>
      <c r="AB29" s="2"/>
    </row>
    <row r="30" spans="1:28" ht="15" customHeight="1" thickTop="1" thickBot="1" x14ac:dyDescent="0.3">
      <c r="A30" s="16">
        <v>45384</v>
      </c>
      <c r="B30" s="17">
        <v>6</v>
      </c>
      <c r="C30" s="19"/>
      <c r="D30" s="20"/>
      <c r="E30" s="19"/>
      <c r="F30" s="19"/>
      <c r="G30" s="20"/>
      <c r="H30" s="17">
        <v>17</v>
      </c>
      <c r="I30" s="17">
        <v>6</v>
      </c>
      <c r="J30" s="18">
        <v>13</v>
      </c>
      <c r="K30" s="17">
        <v>2</v>
      </c>
      <c r="L30" s="19"/>
      <c r="M30" s="20"/>
      <c r="N30" s="19"/>
      <c r="O30" s="19"/>
      <c r="P30" s="20"/>
      <c r="Q30" s="19"/>
      <c r="R30" s="19"/>
      <c r="S30" s="18">
        <v>3</v>
      </c>
      <c r="T30" s="19"/>
      <c r="U30" s="19"/>
      <c r="V30" s="20"/>
      <c r="W30" s="19"/>
      <c r="X30" s="19"/>
      <c r="Y30" s="20"/>
      <c r="Z30" s="26">
        <v>47</v>
      </c>
      <c r="AA30" s="24"/>
      <c r="AB30" s="2"/>
    </row>
    <row r="31" spans="1:28" ht="15" customHeight="1" thickTop="1" thickBot="1" x14ac:dyDescent="0.3">
      <c r="A31" s="7">
        <v>45385</v>
      </c>
      <c r="B31" s="8">
        <v>6</v>
      </c>
      <c r="C31" s="8">
        <v>2</v>
      </c>
      <c r="D31" s="10">
        <v>2</v>
      </c>
      <c r="E31" s="9"/>
      <c r="F31" s="8">
        <v>4</v>
      </c>
      <c r="G31" s="10">
        <v>1</v>
      </c>
      <c r="H31" s="8">
        <v>17</v>
      </c>
      <c r="I31" s="8">
        <v>16</v>
      </c>
      <c r="J31" s="10">
        <v>21</v>
      </c>
      <c r="K31" s="8">
        <v>1</v>
      </c>
      <c r="L31" s="8">
        <v>1</v>
      </c>
      <c r="M31" s="11"/>
      <c r="N31" s="8">
        <v>1</v>
      </c>
      <c r="O31" s="9"/>
      <c r="P31" s="10">
        <v>5</v>
      </c>
      <c r="Q31" s="9"/>
      <c r="R31" s="9"/>
      <c r="S31" s="11"/>
      <c r="T31" s="9"/>
      <c r="U31" s="9"/>
      <c r="V31" s="11"/>
      <c r="W31" s="9"/>
      <c r="X31" s="9"/>
      <c r="Y31" s="11"/>
      <c r="Z31" s="25">
        <v>77</v>
      </c>
      <c r="AA31" s="15"/>
      <c r="AB31" s="2"/>
    </row>
    <row r="32" spans="1:28" ht="15" customHeight="1" thickTop="1" thickBot="1" x14ac:dyDescent="0.3">
      <c r="A32" s="16">
        <v>45386</v>
      </c>
      <c r="B32" s="17">
        <v>1</v>
      </c>
      <c r="C32" s="19"/>
      <c r="D32" s="18">
        <v>1</v>
      </c>
      <c r="E32" s="19"/>
      <c r="F32" s="19"/>
      <c r="G32" s="18">
        <v>1</v>
      </c>
      <c r="H32" s="17">
        <v>1</v>
      </c>
      <c r="I32" s="17">
        <v>5</v>
      </c>
      <c r="J32" s="18">
        <v>5</v>
      </c>
      <c r="K32" s="19"/>
      <c r="L32" s="19"/>
      <c r="M32" s="18">
        <v>1</v>
      </c>
      <c r="N32" s="19"/>
      <c r="O32" s="19"/>
      <c r="P32" s="20"/>
      <c r="Q32" s="19"/>
      <c r="R32" s="17">
        <v>1</v>
      </c>
      <c r="S32" s="20"/>
      <c r="T32" s="19"/>
      <c r="U32" s="19"/>
      <c r="V32" s="20"/>
      <c r="W32" s="19"/>
      <c r="X32" s="17">
        <v>1</v>
      </c>
      <c r="Y32" s="20"/>
      <c r="Z32" s="26">
        <v>17</v>
      </c>
      <c r="AA32" s="24"/>
      <c r="AB32" s="2"/>
    </row>
    <row r="33" spans="1:28" ht="15" customHeight="1" thickTop="1" thickBot="1" x14ac:dyDescent="0.3">
      <c r="A33" s="7">
        <v>45387</v>
      </c>
      <c r="B33" s="8">
        <v>7</v>
      </c>
      <c r="C33" s="9"/>
      <c r="D33" s="11"/>
      <c r="E33" s="8">
        <v>2</v>
      </c>
      <c r="F33" s="9"/>
      <c r="G33" s="11"/>
      <c r="H33" s="8">
        <v>5</v>
      </c>
      <c r="I33" s="8">
        <v>30</v>
      </c>
      <c r="J33" s="10">
        <v>10</v>
      </c>
      <c r="K33" s="8">
        <v>2</v>
      </c>
      <c r="L33" s="8">
        <v>2</v>
      </c>
      <c r="M33" s="11"/>
      <c r="N33" s="9"/>
      <c r="O33" s="9"/>
      <c r="P33" s="11"/>
      <c r="Q33" s="9"/>
      <c r="R33" s="8">
        <v>1</v>
      </c>
      <c r="S33" s="10">
        <v>1</v>
      </c>
      <c r="T33" s="8">
        <v>1</v>
      </c>
      <c r="U33" s="9"/>
      <c r="V33" s="11"/>
      <c r="W33" s="9"/>
      <c r="X33" s="9"/>
      <c r="Y33" s="11"/>
      <c r="Z33" s="25">
        <v>61</v>
      </c>
      <c r="AA33" s="15"/>
      <c r="AB33" s="2"/>
    </row>
    <row r="34" spans="1:28" ht="15" customHeight="1" thickTop="1" thickBot="1" x14ac:dyDescent="0.3">
      <c r="A34" s="16">
        <v>45388</v>
      </c>
      <c r="B34" s="19"/>
      <c r="C34" s="17">
        <v>1</v>
      </c>
      <c r="D34" s="20"/>
      <c r="E34" s="19"/>
      <c r="F34" s="17">
        <v>1</v>
      </c>
      <c r="G34" s="20"/>
      <c r="H34" s="17">
        <v>5</v>
      </c>
      <c r="I34" s="17">
        <v>13</v>
      </c>
      <c r="J34" s="18">
        <v>4</v>
      </c>
      <c r="K34" s="19"/>
      <c r="L34" s="19"/>
      <c r="M34" s="20"/>
      <c r="N34" s="19"/>
      <c r="O34" s="19"/>
      <c r="P34" s="20"/>
      <c r="Q34" s="19"/>
      <c r="R34" s="17">
        <v>2</v>
      </c>
      <c r="S34" s="20"/>
      <c r="T34" s="19"/>
      <c r="U34" s="19"/>
      <c r="V34" s="20"/>
      <c r="W34" s="19"/>
      <c r="X34" s="19"/>
      <c r="Y34" s="20"/>
      <c r="Z34" s="26">
        <v>26</v>
      </c>
      <c r="AA34" s="24"/>
      <c r="AB34" s="2"/>
    </row>
    <row r="35" spans="1:28" ht="15" customHeight="1" thickTop="1" thickBot="1" x14ac:dyDescent="0.3">
      <c r="A35" s="7">
        <v>45389</v>
      </c>
      <c r="B35" s="8">
        <v>1</v>
      </c>
      <c r="C35" s="8">
        <v>1</v>
      </c>
      <c r="D35" s="10">
        <v>1</v>
      </c>
      <c r="E35" s="9"/>
      <c r="F35" s="9"/>
      <c r="G35" s="11"/>
      <c r="H35" s="8">
        <v>2</v>
      </c>
      <c r="I35" s="8">
        <v>8</v>
      </c>
      <c r="J35" s="10">
        <v>2</v>
      </c>
      <c r="K35" s="9"/>
      <c r="L35" s="9"/>
      <c r="M35" s="10">
        <v>5</v>
      </c>
      <c r="N35" s="9"/>
      <c r="O35" s="9"/>
      <c r="P35" s="10">
        <v>1</v>
      </c>
      <c r="Q35" s="9"/>
      <c r="R35" s="9"/>
      <c r="S35" s="11"/>
      <c r="T35" s="9"/>
      <c r="U35" s="9"/>
      <c r="V35" s="11"/>
      <c r="W35" s="9"/>
      <c r="X35" s="9"/>
      <c r="Y35" s="11"/>
      <c r="Z35" s="25">
        <v>21</v>
      </c>
      <c r="AA35" s="15"/>
      <c r="AB35" s="2"/>
    </row>
    <row r="36" spans="1:28" ht="15" customHeight="1" thickTop="1" thickBot="1" x14ac:dyDescent="0.3">
      <c r="A36" s="16">
        <v>45390</v>
      </c>
      <c r="B36" s="19"/>
      <c r="C36" s="19"/>
      <c r="D36" s="18">
        <v>1</v>
      </c>
      <c r="E36" s="19"/>
      <c r="F36" s="19"/>
      <c r="G36" s="18">
        <v>1</v>
      </c>
      <c r="H36" s="17">
        <v>7</v>
      </c>
      <c r="I36" s="17">
        <v>2</v>
      </c>
      <c r="J36" s="20"/>
      <c r="K36" s="19"/>
      <c r="L36" s="19"/>
      <c r="M36" s="20"/>
      <c r="N36" s="17">
        <v>1</v>
      </c>
      <c r="O36" s="19"/>
      <c r="P36" s="20"/>
      <c r="Q36" s="19"/>
      <c r="R36" s="19"/>
      <c r="S36" s="20"/>
      <c r="T36" s="19"/>
      <c r="U36" s="19"/>
      <c r="V36" s="20"/>
      <c r="W36" s="19"/>
      <c r="X36" s="17">
        <v>1</v>
      </c>
      <c r="Y36" s="20"/>
      <c r="Z36" s="26">
        <v>13</v>
      </c>
      <c r="AA36" s="24"/>
      <c r="AB36" s="2"/>
    </row>
    <row r="37" spans="1:28" ht="15" customHeight="1" thickTop="1" thickBot="1" x14ac:dyDescent="0.3">
      <c r="A37" s="7">
        <v>45391</v>
      </c>
      <c r="B37" s="8">
        <v>7</v>
      </c>
      <c r="C37" s="8">
        <v>1</v>
      </c>
      <c r="D37" s="11"/>
      <c r="E37" s="9"/>
      <c r="F37" s="9"/>
      <c r="G37" s="11"/>
      <c r="H37" s="9"/>
      <c r="I37" s="8">
        <v>7</v>
      </c>
      <c r="J37" s="10">
        <v>1</v>
      </c>
      <c r="K37" s="9"/>
      <c r="L37" s="9"/>
      <c r="M37" s="11"/>
      <c r="N37" s="9"/>
      <c r="O37" s="9"/>
      <c r="P37" s="11"/>
      <c r="Q37" s="9"/>
      <c r="R37" s="9"/>
      <c r="S37" s="11"/>
      <c r="T37" s="9"/>
      <c r="U37" s="9"/>
      <c r="V37" s="11"/>
      <c r="W37" s="9"/>
      <c r="X37" s="9"/>
      <c r="Y37" s="11"/>
      <c r="Z37" s="25">
        <v>16</v>
      </c>
      <c r="AA37" s="15"/>
      <c r="AB37" s="2"/>
    </row>
    <row r="38" spans="1:28" ht="15" customHeight="1" thickTop="1" thickBot="1" x14ac:dyDescent="0.3">
      <c r="A38" s="16">
        <v>45392</v>
      </c>
      <c r="B38" s="19"/>
      <c r="C38" s="19"/>
      <c r="D38" s="20"/>
      <c r="E38" s="19"/>
      <c r="F38" s="19"/>
      <c r="G38" s="20"/>
      <c r="H38" s="19"/>
      <c r="I38" s="17">
        <v>1</v>
      </c>
      <c r="J38" s="20"/>
      <c r="K38" s="19"/>
      <c r="L38" s="19"/>
      <c r="M38" s="20"/>
      <c r="N38" s="19"/>
      <c r="O38" s="19"/>
      <c r="P38" s="20"/>
      <c r="Q38" s="19"/>
      <c r="R38" s="19"/>
      <c r="S38" s="20"/>
      <c r="T38" s="19"/>
      <c r="U38" s="19"/>
      <c r="V38" s="20"/>
      <c r="W38" s="19"/>
      <c r="X38" s="19"/>
      <c r="Y38" s="20"/>
      <c r="Z38" s="26">
        <v>1</v>
      </c>
      <c r="AA38" s="24"/>
      <c r="AB38" s="2"/>
    </row>
    <row r="39" spans="1:28" ht="15" customHeight="1" thickTop="1" thickBot="1" x14ac:dyDescent="0.3">
      <c r="A39" s="7">
        <v>45393</v>
      </c>
      <c r="B39" s="9"/>
      <c r="C39" s="9"/>
      <c r="D39" s="11"/>
      <c r="E39" s="9"/>
      <c r="F39" s="9"/>
      <c r="G39" s="11"/>
      <c r="H39" s="8">
        <v>2</v>
      </c>
      <c r="I39" s="8">
        <v>12</v>
      </c>
      <c r="J39" s="10">
        <v>5</v>
      </c>
      <c r="K39" s="9"/>
      <c r="L39" s="9"/>
      <c r="M39" s="11"/>
      <c r="N39" s="9"/>
      <c r="O39" s="9"/>
      <c r="P39" s="11"/>
      <c r="Q39" s="9"/>
      <c r="R39" s="9"/>
      <c r="S39" s="11"/>
      <c r="T39" s="9"/>
      <c r="U39" s="9"/>
      <c r="V39" s="11"/>
      <c r="W39" s="9"/>
      <c r="X39" s="9"/>
      <c r="Y39" s="11"/>
      <c r="Z39" s="25">
        <v>19</v>
      </c>
      <c r="AA39" s="15"/>
      <c r="AB39" s="2"/>
    </row>
    <row r="40" spans="1:28" ht="15" customHeight="1" thickTop="1" thickBot="1" x14ac:dyDescent="0.3">
      <c r="A40" s="16">
        <v>45394</v>
      </c>
      <c r="B40" s="19"/>
      <c r="C40" s="19"/>
      <c r="D40" s="20"/>
      <c r="E40" s="19"/>
      <c r="F40" s="19"/>
      <c r="G40" s="20"/>
      <c r="H40" s="19"/>
      <c r="I40" s="19"/>
      <c r="J40" s="20"/>
      <c r="K40" s="19"/>
      <c r="L40" s="19"/>
      <c r="M40" s="20"/>
      <c r="N40" s="19"/>
      <c r="O40" s="19"/>
      <c r="P40" s="20"/>
      <c r="Q40" s="19"/>
      <c r="R40" s="19"/>
      <c r="S40" s="20"/>
      <c r="T40" s="19"/>
      <c r="U40" s="19"/>
      <c r="V40" s="20"/>
      <c r="W40" s="19"/>
      <c r="X40" s="19"/>
      <c r="Y40" s="20"/>
      <c r="Z40" s="26">
        <v>0</v>
      </c>
      <c r="AA40" s="24"/>
      <c r="AB40" s="2"/>
    </row>
    <row r="41" spans="1:28" ht="15" customHeight="1" thickTop="1" thickBot="1" x14ac:dyDescent="0.3">
      <c r="A41" s="7">
        <v>45395</v>
      </c>
      <c r="B41" s="9"/>
      <c r="C41" s="9"/>
      <c r="D41" s="11"/>
      <c r="E41" s="9"/>
      <c r="F41" s="9"/>
      <c r="G41" s="11"/>
      <c r="H41" s="8">
        <v>3</v>
      </c>
      <c r="I41" s="8">
        <v>4</v>
      </c>
      <c r="J41" s="10">
        <v>2</v>
      </c>
      <c r="K41" s="9"/>
      <c r="L41" s="9"/>
      <c r="M41" s="11"/>
      <c r="N41" s="9"/>
      <c r="O41" s="8">
        <v>1</v>
      </c>
      <c r="P41" s="11"/>
      <c r="Q41" s="9"/>
      <c r="R41" s="9"/>
      <c r="S41" s="11"/>
      <c r="T41" s="9"/>
      <c r="U41" s="9"/>
      <c r="V41" s="11"/>
      <c r="W41" s="9"/>
      <c r="X41" s="9"/>
      <c r="Y41" s="11"/>
      <c r="Z41" s="25">
        <v>10</v>
      </c>
      <c r="AA41" s="15"/>
      <c r="AB41" s="2"/>
    </row>
    <row r="42" spans="1:28" ht="15" customHeight="1" thickTop="1" thickBot="1" x14ac:dyDescent="0.3">
      <c r="A42" s="16">
        <v>45396</v>
      </c>
      <c r="B42" s="19"/>
      <c r="C42" s="19"/>
      <c r="D42" s="20"/>
      <c r="E42" s="19"/>
      <c r="F42" s="19"/>
      <c r="G42" s="20"/>
      <c r="H42" s="17">
        <v>6</v>
      </c>
      <c r="I42" s="17">
        <v>9</v>
      </c>
      <c r="J42" s="18">
        <v>4</v>
      </c>
      <c r="K42" s="19"/>
      <c r="L42" s="19"/>
      <c r="M42" s="20"/>
      <c r="N42" s="19"/>
      <c r="O42" s="19"/>
      <c r="P42" s="20"/>
      <c r="Q42" s="19"/>
      <c r="R42" s="19"/>
      <c r="S42" s="20"/>
      <c r="T42" s="19"/>
      <c r="U42" s="19"/>
      <c r="V42" s="20"/>
      <c r="W42" s="19"/>
      <c r="X42" s="19"/>
      <c r="Y42" s="20"/>
      <c r="Z42" s="26">
        <v>19</v>
      </c>
      <c r="AA42" s="24"/>
      <c r="AB42" s="2"/>
    </row>
    <row r="43" spans="1:28" ht="15" customHeight="1" thickTop="1" thickBot="1" x14ac:dyDescent="0.3">
      <c r="A43" s="7">
        <v>45397</v>
      </c>
      <c r="B43" s="9"/>
      <c r="C43" s="9"/>
      <c r="D43" s="11"/>
      <c r="E43" s="9"/>
      <c r="F43" s="9"/>
      <c r="G43" s="11"/>
      <c r="H43" s="8">
        <v>1</v>
      </c>
      <c r="I43" s="8">
        <v>19</v>
      </c>
      <c r="J43" s="10">
        <v>4</v>
      </c>
      <c r="K43" s="9"/>
      <c r="L43" s="9"/>
      <c r="M43" s="11"/>
      <c r="N43" s="9"/>
      <c r="O43" s="9"/>
      <c r="P43" s="11"/>
      <c r="Q43" s="9"/>
      <c r="R43" s="9"/>
      <c r="S43" s="11"/>
      <c r="T43" s="9"/>
      <c r="U43" s="9"/>
      <c r="V43" s="11"/>
      <c r="W43" s="9"/>
      <c r="X43" s="9"/>
      <c r="Y43" s="11"/>
      <c r="Z43" s="25">
        <v>24</v>
      </c>
      <c r="AA43" s="15"/>
      <c r="AB43" s="2"/>
    </row>
    <row r="44" spans="1:28" ht="15" customHeight="1" thickTop="1" thickBot="1" x14ac:dyDescent="0.3">
      <c r="A44" s="16">
        <v>45398</v>
      </c>
      <c r="B44" s="19"/>
      <c r="C44" s="19"/>
      <c r="D44" s="20"/>
      <c r="E44" s="19"/>
      <c r="F44" s="19"/>
      <c r="G44" s="20"/>
      <c r="H44" s="19"/>
      <c r="I44" s="17">
        <v>4</v>
      </c>
      <c r="J44" s="18">
        <v>4</v>
      </c>
      <c r="K44" s="19"/>
      <c r="L44" s="19"/>
      <c r="M44" s="20"/>
      <c r="N44" s="19"/>
      <c r="O44" s="19"/>
      <c r="P44" s="20"/>
      <c r="Q44" s="19"/>
      <c r="R44" s="19"/>
      <c r="S44" s="20"/>
      <c r="T44" s="19"/>
      <c r="U44" s="19"/>
      <c r="V44" s="20"/>
      <c r="W44" s="19"/>
      <c r="X44" s="19"/>
      <c r="Y44" s="20"/>
      <c r="Z44" s="26">
        <v>8</v>
      </c>
      <c r="AA44" s="24"/>
      <c r="AB44" s="2"/>
    </row>
    <row r="45" spans="1:28" ht="15" customHeight="1" thickTop="1" thickBot="1" x14ac:dyDescent="0.3">
      <c r="A45" s="7">
        <v>45399</v>
      </c>
      <c r="B45" s="9"/>
      <c r="C45" s="9"/>
      <c r="D45" s="11"/>
      <c r="E45" s="9"/>
      <c r="F45" s="9"/>
      <c r="G45" s="11"/>
      <c r="H45" s="9"/>
      <c r="I45" s="9"/>
      <c r="J45" s="11"/>
      <c r="K45" s="9"/>
      <c r="L45" s="9"/>
      <c r="M45" s="11"/>
      <c r="N45" s="9"/>
      <c r="O45" s="9"/>
      <c r="P45" s="11"/>
      <c r="Q45" s="9"/>
      <c r="R45" s="9"/>
      <c r="S45" s="11"/>
      <c r="T45" s="9"/>
      <c r="U45" s="9"/>
      <c r="V45" s="11"/>
      <c r="W45" s="9"/>
      <c r="X45" s="9"/>
      <c r="Y45" s="11"/>
      <c r="Z45" s="25">
        <v>0</v>
      </c>
      <c r="AA45" s="15"/>
      <c r="AB45" s="2"/>
    </row>
    <row r="46" spans="1:28" ht="15" customHeight="1" thickTop="1" thickBot="1" x14ac:dyDescent="0.3">
      <c r="A46" s="16">
        <v>45400</v>
      </c>
      <c r="B46" s="19"/>
      <c r="C46" s="19"/>
      <c r="D46" s="20"/>
      <c r="E46" s="19"/>
      <c r="F46" s="19"/>
      <c r="G46" s="20"/>
      <c r="H46" s="19"/>
      <c r="I46" s="19"/>
      <c r="J46" s="20"/>
      <c r="K46" s="19"/>
      <c r="L46" s="19"/>
      <c r="M46" s="20"/>
      <c r="N46" s="19"/>
      <c r="O46" s="19"/>
      <c r="P46" s="20"/>
      <c r="Q46" s="19"/>
      <c r="R46" s="19"/>
      <c r="S46" s="20"/>
      <c r="T46" s="19"/>
      <c r="U46" s="19"/>
      <c r="V46" s="20"/>
      <c r="W46" s="19"/>
      <c r="X46" s="19"/>
      <c r="Y46" s="20"/>
      <c r="Z46" s="26">
        <v>0</v>
      </c>
      <c r="AA46" s="24"/>
      <c r="AB46" s="2"/>
    </row>
    <row r="47" spans="1:28" ht="15" customHeight="1" thickTop="1" thickBot="1" x14ac:dyDescent="0.3">
      <c r="A47" s="7">
        <v>45401</v>
      </c>
      <c r="B47" s="9"/>
      <c r="C47" s="9"/>
      <c r="D47" s="11"/>
      <c r="E47" s="9"/>
      <c r="F47" s="9"/>
      <c r="G47" s="11"/>
      <c r="H47" s="9"/>
      <c r="I47" s="8">
        <v>1</v>
      </c>
      <c r="J47" s="10">
        <v>1</v>
      </c>
      <c r="K47" s="9"/>
      <c r="L47" s="9"/>
      <c r="M47" s="11"/>
      <c r="N47" s="9"/>
      <c r="O47" s="9"/>
      <c r="P47" s="11"/>
      <c r="Q47" s="9"/>
      <c r="R47" s="9"/>
      <c r="S47" s="11"/>
      <c r="T47" s="9"/>
      <c r="U47" s="9"/>
      <c r="V47" s="11"/>
      <c r="W47" s="9"/>
      <c r="X47" s="9"/>
      <c r="Y47" s="11"/>
      <c r="Z47" s="25">
        <v>2</v>
      </c>
      <c r="AA47" s="15"/>
      <c r="AB47" s="2"/>
    </row>
    <row r="48" spans="1:28" ht="15" customHeight="1" thickTop="1" thickBot="1" x14ac:dyDescent="0.3">
      <c r="A48" s="16">
        <v>45402</v>
      </c>
      <c r="B48" s="19"/>
      <c r="C48" s="19"/>
      <c r="D48" s="20"/>
      <c r="E48" s="19"/>
      <c r="F48" s="19"/>
      <c r="G48" s="20"/>
      <c r="H48" s="19"/>
      <c r="I48" s="19"/>
      <c r="J48" s="20"/>
      <c r="K48" s="19"/>
      <c r="L48" s="19"/>
      <c r="M48" s="20"/>
      <c r="N48" s="19"/>
      <c r="O48" s="19"/>
      <c r="P48" s="20"/>
      <c r="Q48" s="19"/>
      <c r="R48" s="19"/>
      <c r="S48" s="20"/>
      <c r="T48" s="19"/>
      <c r="U48" s="19"/>
      <c r="V48" s="20"/>
      <c r="W48" s="19"/>
      <c r="X48" s="19"/>
      <c r="Y48" s="20"/>
      <c r="Z48" s="26">
        <v>0</v>
      </c>
      <c r="AA48" s="24"/>
      <c r="AB48" s="2"/>
    </row>
    <row r="49" spans="1:28" ht="15" customHeight="1" thickTop="1" thickBot="1" x14ac:dyDescent="0.3">
      <c r="A49" s="7">
        <v>45403</v>
      </c>
      <c r="B49" s="9"/>
      <c r="C49" s="9"/>
      <c r="D49" s="11"/>
      <c r="E49" s="9"/>
      <c r="F49" s="9"/>
      <c r="G49" s="11"/>
      <c r="H49" s="9"/>
      <c r="I49" s="9"/>
      <c r="J49" s="11"/>
      <c r="K49" s="9"/>
      <c r="L49" s="9"/>
      <c r="M49" s="11"/>
      <c r="N49" s="9"/>
      <c r="O49" s="9"/>
      <c r="P49" s="11"/>
      <c r="Q49" s="9"/>
      <c r="R49" s="9"/>
      <c r="S49" s="11"/>
      <c r="T49" s="9"/>
      <c r="U49" s="9"/>
      <c r="V49" s="11"/>
      <c r="W49" s="9"/>
      <c r="X49" s="9"/>
      <c r="Y49" s="11"/>
      <c r="Z49" s="25">
        <v>0</v>
      </c>
      <c r="AA49" s="15"/>
      <c r="AB49" s="2"/>
    </row>
    <row r="50" spans="1:28" ht="15" customHeight="1" thickTop="1" thickBot="1" x14ac:dyDescent="0.3">
      <c r="A50" s="16">
        <v>45404</v>
      </c>
      <c r="B50" s="19"/>
      <c r="C50" s="19"/>
      <c r="D50" s="20"/>
      <c r="E50" s="19"/>
      <c r="F50" s="19"/>
      <c r="G50" s="20"/>
      <c r="H50" s="19"/>
      <c r="I50" s="19"/>
      <c r="J50" s="20"/>
      <c r="K50" s="19"/>
      <c r="L50" s="19"/>
      <c r="M50" s="20"/>
      <c r="N50" s="19"/>
      <c r="O50" s="19"/>
      <c r="P50" s="20"/>
      <c r="Q50" s="19"/>
      <c r="R50" s="19"/>
      <c r="S50" s="20"/>
      <c r="T50" s="19"/>
      <c r="U50" s="19"/>
      <c r="V50" s="20"/>
      <c r="W50" s="19"/>
      <c r="X50" s="19"/>
      <c r="Y50" s="20"/>
      <c r="Z50" s="26">
        <v>0</v>
      </c>
      <c r="AA50" s="24"/>
      <c r="AB50" s="2"/>
    </row>
    <row r="51" spans="1:28" ht="15" customHeight="1" thickTop="1" thickBot="1" x14ac:dyDescent="0.3">
      <c r="A51" s="7">
        <v>45405</v>
      </c>
      <c r="B51" s="9"/>
      <c r="C51" s="9"/>
      <c r="D51" s="11"/>
      <c r="E51" s="9"/>
      <c r="F51" s="9"/>
      <c r="G51" s="11"/>
      <c r="H51" s="9"/>
      <c r="I51" s="9"/>
      <c r="J51" s="11"/>
      <c r="K51" s="9"/>
      <c r="L51" s="9"/>
      <c r="M51" s="11"/>
      <c r="N51" s="9"/>
      <c r="O51" s="9"/>
      <c r="P51" s="11"/>
      <c r="Q51" s="9"/>
      <c r="R51" s="9"/>
      <c r="S51" s="11"/>
      <c r="T51" s="9"/>
      <c r="U51" s="9"/>
      <c r="V51" s="11"/>
      <c r="W51" s="9"/>
      <c r="X51" s="9"/>
      <c r="Y51" s="11"/>
      <c r="Z51" s="25">
        <v>0</v>
      </c>
      <c r="AA51" s="15"/>
      <c r="AB51" s="2"/>
    </row>
    <row r="52" spans="1:28" ht="15" customHeight="1" thickTop="1" thickBot="1" x14ac:dyDescent="0.3">
      <c r="A52" s="16">
        <v>45406</v>
      </c>
      <c r="B52" s="19"/>
      <c r="C52" s="19"/>
      <c r="D52" s="20"/>
      <c r="E52" s="19"/>
      <c r="F52" s="19"/>
      <c r="G52" s="20"/>
      <c r="H52" s="19"/>
      <c r="I52" s="19"/>
      <c r="J52" s="20"/>
      <c r="K52" s="19"/>
      <c r="L52" s="19"/>
      <c r="M52" s="20"/>
      <c r="N52" s="19"/>
      <c r="O52" s="19"/>
      <c r="P52" s="20"/>
      <c r="Q52" s="19"/>
      <c r="R52" s="19"/>
      <c r="S52" s="20"/>
      <c r="T52" s="19"/>
      <c r="U52" s="19"/>
      <c r="V52" s="20"/>
      <c r="W52" s="19"/>
      <c r="X52" s="19"/>
      <c r="Y52" s="20"/>
      <c r="Z52" s="26">
        <v>0</v>
      </c>
      <c r="AA52" s="24"/>
      <c r="AB52" s="2"/>
    </row>
    <row r="53" spans="1:28" ht="15" customHeight="1" thickTop="1" thickBot="1" x14ac:dyDescent="0.3">
      <c r="A53" s="7">
        <v>45407</v>
      </c>
      <c r="B53" s="9"/>
      <c r="C53" s="9"/>
      <c r="D53" s="11"/>
      <c r="E53" s="9"/>
      <c r="F53" s="9"/>
      <c r="G53" s="11"/>
      <c r="H53" s="9"/>
      <c r="I53" s="9"/>
      <c r="J53" s="11"/>
      <c r="K53" s="9"/>
      <c r="L53" s="9"/>
      <c r="M53" s="11"/>
      <c r="N53" s="9"/>
      <c r="O53" s="9"/>
      <c r="P53" s="11"/>
      <c r="Q53" s="9"/>
      <c r="R53" s="9"/>
      <c r="S53" s="11"/>
      <c r="T53" s="9"/>
      <c r="U53" s="9"/>
      <c r="V53" s="11"/>
      <c r="W53" s="9"/>
      <c r="X53" s="9"/>
      <c r="Y53" s="11"/>
      <c r="Z53" s="25">
        <v>0</v>
      </c>
      <c r="AA53" s="15"/>
      <c r="AB53" s="2"/>
    </row>
    <row r="54" spans="1:28" ht="15" customHeight="1" thickTop="1" thickBot="1" x14ac:dyDescent="0.3">
      <c r="A54" s="16">
        <v>45408</v>
      </c>
      <c r="B54" s="19"/>
      <c r="C54" s="19"/>
      <c r="D54" s="20"/>
      <c r="E54" s="19"/>
      <c r="F54" s="19"/>
      <c r="G54" s="20"/>
      <c r="H54" s="19"/>
      <c r="I54" s="19"/>
      <c r="J54" s="20"/>
      <c r="K54" s="19"/>
      <c r="L54" s="19"/>
      <c r="M54" s="20"/>
      <c r="N54" s="19"/>
      <c r="O54" s="19"/>
      <c r="P54" s="20"/>
      <c r="Q54" s="19"/>
      <c r="R54" s="19"/>
      <c r="S54" s="20"/>
      <c r="T54" s="19"/>
      <c r="U54" s="19"/>
      <c r="V54" s="20"/>
      <c r="W54" s="19"/>
      <c r="X54" s="19"/>
      <c r="Y54" s="20"/>
      <c r="Z54" s="26">
        <v>0</v>
      </c>
      <c r="AA54" s="24"/>
      <c r="AB54" s="2"/>
    </row>
    <row r="55" spans="1:28" ht="15" customHeight="1" thickTop="1" thickBot="1" x14ac:dyDescent="0.3">
      <c r="A55" s="7">
        <v>45409</v>
      </c>
      <c r="B55" s="9"/>
      <c r="C55" s="9"/>
      <c r="D55" s="11"/>
      <c r="E55" s="9"/>
      <c r="F55" s="9"/>
      <c r="G55" s="11"/>
      <c r="H55" s="9"/>
      <c r="I55" s="9"/>
      <c r="J55" s="11"/>
      <c r="K55" s="9"/>
      <c r="L55" s="9"/>
      <c r="M55" s="11"/>
      <c r="N55" s="9"/>
      <c r="O55" s="9"/>
      <c r="P55" s="11"/>
      <c r="Q55" s="9"/>
      <c r="R55" s="9"/>
      <c r="S55" s="11"/>
      <c r="T55" s="9"/>
      <c r="U55" s="9"/>
      <c r="V55" s="11"/>
      <c r="W55" s="9"/>
      <c r="X55" s="9"/>
      <c r="Y55" s="11"/>
      <c r="Z55" s="25">
        <v>0</v>
      </c>
      <c r="AA55" s="15"/>
      <c r="AB55" s="2"/>
    </row>
    <row r="56" spans="1:28" ht="15" customHeight="1" thickTop="1" thickBot="1" x14ac:dyDescent="0.3">
      <c r="A56" s="28" t="s">
        <v>29</v>
      </c>
      <c r="B56" s="4">
        <f>SUM(B3:B55)</f>
        <v>199</v>
      </c>
      <c r="C56" s="29">
        <f t="shared" ref="C56:Y56" si="0">SUM(C3:C55)</f>
        <v>164</v>
      </c>
      <c r="D56" s="6">
        <f t="shared" si="0"/>
        <v>30</v>
      </c>
      <c r="E56" s="4">
        <f t="shared" si="0"/>
        <v>23</v>
      </c>
      <c r="F56" s="29">
        <f t="shared" si="0"/>
        <v>22</v>
      </c>
      <c r="G56" s="6">
        <f t="shared" si="0"/>
        <v>13</v>
      </c>
      <c r="H56" s="4">
        <f t="shared" si="0"/>
        <v>621</v>
      </c>
      <c r="I56" s="29">
        <f t="shared" si="0"/>
        <v>950</v>
      </c>
      <c r="J56" s="6">
        <f t="shared" si="0"/>
        <v>505</v>
      </c>
      <c r="K56" s="4">
        <f t="shared" si="0"/>
        <v>57</v>
      </c>
      <c r="L56" s="29">
        <f t="shared" si="0"/>
        <v>39</v>
      </c>
      <c r="M56" s="6">
        <f t="shared" si="0"/>
        <v>15</v>
      </c>
      <c r="N56" s="4">
        <f t="shared" si="0"/>
        <v>5</v>
      </c>
      <c r="O56" s="29">
        <f t="shared" si="0"/>
        <v>4</v>
      </c>
      <c r="P56" s="6">
        <f t="shared" si="0"/>
        <v>6</v>
      </c>
      <c r="Q56" s="4">
        <f t="shared" si="0"/>
        <v>16</v>
      </c>
      <c r="R56" s="29">
        <f t="shared" si="0"/>
        <v>10</v>
      </c>
      <c r="S56" s="6">
        <f t="shared" si="0"/>
        <v>8</v>
      </c>
      <c r="T56" s="4">
        <f t="shared" si="0"/>
        <v>9</v>
      </c>
      <c r="U56" s="29">
        <f t="shared" si="0"/>
        <v>2</v>
      </c>
      <c r="V56" s="6">
        <f t="shared" si="0"/>
        <v>4</v>
      </c>
      <c r="W56" s="4">
        <f t="shared" si="0"/>
        <v>5</v>
      </c>
      <c r="X56" s="29">
        <f t="shared" si="0"/>
        <v>4</v>
      </c>
      <c r="Y56" s="6">
        <f t="shared" si="0"/>
        <v>2</v>
      </c>
      <c r="Z56" s="24"/>
      <c r="AA56" s="24"/>
      <c r="AB56" s="2"/>
    </row>
    <row r="57" spans="1:28" ht="15" customHeight="1" thickTop="1" thickBot="1" x14ac:dyDescent="0.3">
      <c r="A57" s="30" t="s">
        <v>30</v>
      </c>
      <c r="B57" s="34">
        <f>SUM(B56:D56)</f>
        <v>393</v>
      </c>
      <c r="C57" s="35"/>
      <c r="D57" s="36"/>
      <c r="E57" s="34">
        <f>SUM(E56:G56)</f>
        <v>58</v>
      </c>
      <c r="F57" s="35"/>
      <c r="G57" s="36"/>
      <c r="H57" s="34">
        <f t="shared" ref="H57" si="1">SUM(H56:J56)</f>
        <v>2076</v>
      </c>
      <c r="I57" s="35"/>
      <c r="J57" s="36"/>
      <c r="K57" s="34">
        <f t="shared" ref="K57" si="2">SUM(K56:M56)</f>
        <v>111</v>
      </c>
      <c r="L57" s="35"/>
      <c r="M57" s="36"/>
      <c r="N57" s="34">
        <f t="shared" ref="N57" si="3">SUM(N56:P56)</f>
        <v>15</v>
      </c>
      <c r="O57" s="35"/>
      <c r="P57" s="36"/>
      <c r="Q57" s="34">
        <f t="shared" ref="Q57" si="4">SUM(Q56:S56)</f>
        <v>34</v>
      </c>
      <c r="R57" s="35"/>
      <c r="S57" s="36"/>
      <c r="T57" s="34">
        <f t="shared" ref="T57" si="5">SUM(T56:V56)</f>
        <v>15</v>
      </c>
      <c r="U57" s="35"/>
      <c r="V57" s="36"/>
      <c r="W57" s="34">
        <f t="shared" ref="W57" si="6">SUM(W56:Y56)</f>
        <v>11</v>
      </c>
      <c r="X57" s="35"/>
      <c r="Y57" s="36"/>
      <c r="Z57" s="15"/>
      <c r="AA57" s="15"/>
      <c r="AB57" s="2"/>
    </row>
    <row r="58" spans="1:28" ht="15" customHeight="1" thickTop="1" x14ac:dyDescent="0.25"/>
  </sheetData>
  <mergeCells count="17">
    <mergeCell ref="B1:D1"/>
    <mergeCell ref="E1:G1"/>
    <mergeCell ref="H1:J1"/>
    <mergeCell ref="K1:M1"/>
    <mergeCell ref="N1:P1"/>
    <mergeCell ref="B57:D57"/>
    <mergeCell ref="E57:G57"/>
    <mergeCell ref="H57:J57"/>
    <mergeCell ref="K57:M57"/>
    <mergeCell ref="N57:P57"/>
    <mergeCell ref="Q1:S1"/>
    <mergeCell ref="W57:Y57"/>
    <mergeCell ref="T1:V1"/>
    <mergeCell ref="W1:Y1"/>
    <mergeCell ref="Z1:Z2"/>
    <mergeCell ref="Q57:S57"/>
    <mergeCell ref="T57:V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D4AF-0E61-4847-B831-8B95D223128A}">
  <dimension ref="A1:I25"/>
  <sheetViews>
    <sheetView tabSelected="1" workbookViewId="0">
      <selection sqref="A1:D1048576"/>
    </sheetView>
  </sheetViews>
  <sheetFormatPr defaultRowHeight="15" x14ac:dyDescent="0.25"/>
  <cols>
    <col min="3" max="4" width="9.140625" customWidth="1"/>
  </cols>
  <sheetData>
    <row r="1" spans="1:9" x14ac:dyDescent="0.25">
      <c r="A1" t="s">
        <v>0</v>
      </c>
      <c r="B1" t="s">
        <v>8</v>
      </c>
      <c r="C1" t="s">
        <v>31</v>
      </c>
      <c r="D1" t="s">
        <v>33</v>
      </c>
      <c r="H1" t="s">
        <v>32</v>
      </c>
    </row>
    <row r="2" spans="1:9" x14ac:dyDescent="0.25">
      <c r="A2" t="s">
        <v>1</v>
      </c>
      <c r="B2" t="s">
        <v>4</v>
      </c>
      <c r="C2">
        <v>199</v>
      </c>
      <c r="D2">
        <f>C2*100/I2</f>
        <v>50.636132315521628</v>
      </c>
      <c r="H2" t="s">
        <v>1</v>
      </c>
      <c r="I2">
        <v>393</v>
      </c>
    </row>
    <row r="3" spans="1:9" x14ac:dyDescent="0.25">
      <c r="A3" t="s">
        <v>1</v>
      </c>
      <c r="B3" t="s">
        <v>5</v>
      </c>
      <c r="C3">
        <v>164</v>
      </c>
      <c r="D3">
        <f>C3*100/I2</f>
        <v>41.730279898218832</v>
      </c>
      <c r="H3" t="s">
        <v>2</v>
      </c>
      <c r="I3">
        <v>58</v>
      </c>
    </row>
    <row r="4" spans="1:9" x14ac:dyDescent="0.25">
      <c r="A4" t="s">
        <v>1</v>
      </c>
      <c r="B4" t="s">
        <v>6</v>
      </c>
      <c r="C4">
        <v>30</v>
      </c>
      <c r="D4">
        <f>C4*100/I2</f>
        <v>7.6335877862595423</v>
      </c>
      <c r="H4" t="s">
        <v>3</v>
      </c>
      <c r="I4">
        <v>2076</v>
      </c>
    </row>
    <row r="5" spans="1:9" x14ac:dyDescent="0.25">
      <c r="A5" t="s">
        <v>2</v>
      </c>
      <c r="B5" t="s">
        <v>4</v>
      </c>
      <c r="C5">
        <v>23</v>
      </c>
      <c r="D5">
        <f>C5*100/I3</f>
        <v>39.655172413793103</v>
      </c>
      <c r="H5" t="s">
        <v>7</v>
      </c>
      <c r="I5">
        <v>111</v>
      </c>
    </row>
    <row r="6" spans="1:9" x14ac:dyDescent="0.25">
      <c r="A6" t="s">
        <v>2</v>
      </c>
      <c r="B6" t="s">
        <v>5</v>
      </c>
      <c r="C6">
        <v>22</v>
      </c>
      <c r="D6">
        <f>C6*100/I3</f>
        <v>37.931034482758619</v>
      </c>
      <c r="H6" t="s">
        <v>9</v>
      </c>
      <c r="I6">
        <v>15</v>
      </c>
    </row>
    <row r="7" spans="1:9" x14ac:dyDescent="0.25">
      <c r="A7" t="s">
        <v>2</v>
      </c>
      <c r="B7" t="s">
        <v>6</v>
      </c>
      <c r="C7">
        <v>13</v>
      </c>
      <c r="D7">
        <f t="shared" ref="D3:D25" si="0">C7*100/I7</f>
        <v>38.235294117647058</v>
      </c>
      <c r="H7" t="s">
        <v>10</v>
      </c>
      <c r="I7">
        <v>34</v>
      </c>
    </row>
    <row r="8" spans="1:9" x14ac:dyDescent="0.25">
      <c r="A8" t="s">
        <v>3</v>
      </c>
      <c r="B8" t="s">
        <v>4</v>
      </c>
      <c r="C8">
        <v>621</v>
      </c>
      <c r="D8">
        <f>C8*100/I4</f>
        <v>29.913294797687861</v>
      </c>
      <c r="H8" t="s">
        <v>11</v>
      </c>
      <c r="I8">
        <v>15</v>
      </c>
    </row>
    <row r="9" spans="1:9" x14ac:dyDescent="0.25">
      <c r="A9" t="s">
        <v>3</v>
      </c>
      <c r="B9" t="s">
        <v>5</v>
      </c>
      <c r="C9">
        <v>950</v>
      </c>
      <c r="D9">
        <f>C9*100/I4</f>
        <v>45.761078998073216</v>
      </c>
      <c r="H9" t="s">
        <v>12</v>
      </c>
      <c r="I9">
        <v>11</v>
      </c>
    </row>
    <row r="10" spans="1:9" x14ac:dyDescent="0.25">
      <c r="A10" t="s">
        <v>3</v>
      </c>
      <c r="B10" t="s">
        <v>6</v>
      </c>
      <c r="C10">
        <v>505</v>
      </c>
      <c r="D10">
        <f>C10*100/I4</f>
        <v>24.325626204238922</v>
      </c>
    </row>
    <row r="11" spans="1:9" x14ac:dyDescent="0.25">
      <c r="A11" t="s">
        <v>7</v>
      </c>
      <c r="B11" t="s">
        <v>4</v>
      </c>
      <c r="C11">
        <v>57</v>
      </c>
      <c r="D11">
        <f>C11*100/I5</f>
        <v>51.351351351351354</v>
      </c>
    </row>
    <row r="12" spans="1:9" x14ac:dyDescent="0.25">
      <c r="A12" t="s">
        <v>7</v>
      </c>
      <c r="B12" t="s">
        <v>5</v>
      </c>
      <c r="C12">
        <v>39</v>
      </c>
      <c r="D12">
        <f>C12*100/I5</f>
        <v>35.135135135135137</v>
      </c>
    </row>
    <row r="13" spans="1:9" x14ac:dyDescent="0.25">
      <c r="A13" t="s">
        <v>7</v>
      </c>
      <c r="B13" t="s">
        <v>6</v>
      </c>
      <c r="C13">
        <v>15</v>
      </c>
      <c r="D13">
        <f>C13*100/I5</f>
        <v>13.513513513513514</v>
      </c>
    </row>
    <row r="14" spans="1:9" x14ac:dyDescent="0.25">
      <c r="A14" t="s">
        <v>9</v>
      </c>
      <c r="B14" t="s">
        <v>4</v>
      </c>
      <c r="C14">
        <v>5</v>
      </c>
      <c r="D14">
        <f>C14*100/I6</f>
        <v>33.333333333333336</v>
      </c>
    </row>
    <row r="15" spans="1:9" x14ac:dyDescent="0.25">
      <c r="A15" t="s">
        <v>9</v>
      </c>
      <c r="B15" t="s">
        <v>5</v>
      </c>
      <c r="C15">
        <v>4</v>
      </c>
      <c r="D15">
        <f>C15*100/I6</f>
        <v>26.666666666666668</v>
      </c>
    </row>
    <row r="16" spans="1:9" x14ac:dyDescent="0.25">
      <c r="A16" t="s">
        <v>9</v>
      </c>
      <c r="B16" t="s">
        <v>6</v>
      </c>
      <c r="C16">
        <v>6</v>
      </c>
      <c r="D16">
        <f>C16*100/I6</f>
        <v>40</v>
      </c>
    </row>
    <row r="17" spans="1:4" x14ac:dyDescent="0.25">
      <c r="A17" t="s">
        <v>10</v>
      </c>
      <c r="B17" t="s">
        <v>4</v>
      </c>
      <c r="C17">
        <v>16</v>
      </c>
      <c r="D17">
        <f>C17*100/I7</f>
        <v>47.058823529411768</v>
      </c>
    </row>
    <row r="18" spans="1:4" x14ac:dyDescent="0.25">
      <c r="A18" t="s">
        <v>10</v>
      </c>
      <c r="B18" t="s">
        <v>5</v>
      </c>
      <c r="C18">
        <v>10</v>
      </c>
      <c r="D18">
        <f>C18*100/I7</f>
        <v>29.411764705882351</v>
      </c>
    </row>
    <row r="19" spans="1:4" x14ac:dyDescent="0.25">
      <c r="A19" t="s">
        <v>10</v>
      </c>
      <c r="B19" t="s">
        <v>6</v>
      </c>
      <c r="C19">
        <v>8</v>
      </c>
      <c r="D19">
        <f>C19*100/I7</f>
        <v>23.529411764705884</v>
      </c>
    </row>
    <row r="20" spans="1:4" x14ac:dyDescent="0.25">
      <c r="A20" t="s">
        <v>11</v>
      </c>
      <c r="B20" t="s">
        <v>4</v>
      </c>
      <c r="C20">
        <v>9</v>
      </c>
      <c r="D20">
        <f>C20*100/I8</f>
        <v>60</v>
      </c>
    </row>
    <row r="21" spans="1:4" x14ac:dyDescent="0.25">
      <c r="A21" t="s">
        <v>11</v>
      </c>
      <c r="B21" t="s">
        <v>5</v>
      </c>
      <c r="C21">
        <v>2</v>
      </c>
      <c r="D21">
        <f>C21*100/I8</f>
        <v>13.333333333333334</v>
      </c>
    </row>
    <row r="22" spans="1:4" x14ac:dyDescent="0.25">
      <c r="A22" t="s">
        <v>11</v>
      </c>
      <c r="B22" t="s">
        <v>6</v>
      </c>
      <c r="C22">
        <v>4</v>
      </c>
      <c r="D22">
        <f>C22*100/I8</f>
        <v>26.666666666666668</v>
      </c>
    </row>
    <row r="23" spans="1:4" x14ac:dyDescent="0.25">
      <c r="A23" t="s">
        <v>12</v>
      </c>
      <c r="B23" t="s">
        <v>4</v>
      </c>
      <c r="C23">
        <v>5</v>
      </c>
      <c r="D23">
        <f>C23*100/I9</f>
        <v>45.454545454545453</v>
      </c>
    </row>
    <row r="24" spans="1:4" x14ac:dyDescent="0.25">
      <c r="A24" t="s">
        <v>12</v>
      </c>
      <c r="B24" t="s">
        <v>5</v>
      </c>
      <c r="C24">
        <v>4</v>
      </c>
      <c r="D24">
        <f>C24*100/I9</f>
        <v>36.363636363636367</v>
      </c>
    </row>
    <row r="25" spans="1:4" x14ac:dyDescent="0.25">
      <c r="A25" t="s">
        <v>12</v>
      </c>
      <c r="B25" t="s">
        <v>6</v>
      </c>
      <c r="C25">
        <v>2</v>
      </c>
      <c r="D25">
        <f>C25*100/I9</f>
        <v>18.181818181818183</v>
      </c>
    </row>
  </sheetData>
  <autoFilter ref="A1:C1" xr:uid="{5B4AD4AF-0E61-4847-B831-8B95D223128A}">
    <sortState xmlns:xlrd2="http://schemas.microsoft.com/office/spreadsheetml/2017/richdata2" ref="A2:C2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</vt:lpstr>
      <vt:lpstr>sum_up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2025-05-21T17:54:53Z</dcterms:created>
  <dcterms:modified xsi:type="dcterms:W3CDTF">2025-11-29T19:58:29Z</dcterms:modified>
</cp:coreProperties>
</file>