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:\Shared drives\CSMS_CBP_MassLab\Liel Uziahu\GitHub\Stylophora-pistillata-FPs\Raw_Data\Prot\Planulae\"/>
    </mc:Choice>
  </mc:AlternateContent>
  <xr:revisionPtr revIDLastSave="0" documentId="13_ncr:1_{45CF3A60-CB9B-4A71-A9EF-0A070B501A4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Data" sheetId="1" r:id="rId1"/>
    <sheet name="loadout" sheetId="2" r:id="rId2"/>
    <sheet name="CaliCurve" sheetId="3" r:id="rId3"/>
    <sheet name="calculates" sheetId="4" r:id="rId4"/>
  </sheets>
  <definedNames>
    <definedName name="_xlchart.v1.0" hidden="1">calculates!$B$2:$B$13</definedName>
    <definedName name="_xlchart.v1.1" hidden="1">calculates!$K$2:$K$13</definedName>
    <definedName name="_xlchart.v1.2" hidden="1">calculates!$B$2:$B$13</definedName>
    <definedName name="_xlchart.v1.3" hidden="1">calculates!$I$2:$I$13</definedName>
    <definedName name="MethodPointer1">1447419168</definedName>
    <definedName name="MethodPointer2">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2" i="4"/>
  <c r="J3" i="4"/>
  <c r="J4" i="4"/>
  <c r="J5" i="4"/>
  <c r="J6" i="4"/>
  <c r="J7" i="4"/>
  <c r="J8" i="4"/>
  <c r="J9" i="4"/>
  <c r="J10" i="4"/>
  <c r="J11" i="4"/>
  <c r="J12" i="4"/>
  <c r="J13" i="4"/>
  <c r="J2" i="4"/>
  <c r="H3" i="4" l="1"/>
  <c r="I3" i="4" s="1"/>
  <c r="H4" i="4"/>
  <c r="I4" i="4" s="1"/>
  <c r="H5" i="4"/>
  <c r="I5" i="4" s="1"/>
  <c r="H6" i="4"/>
  <c r="I6" i="4" s="1"/>
  <c r="H7" i="4"/>
  <c r="I7" i="4" s="1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2" i="4"/>
  <c r="I2" i="4" s="1"/>
</calcChain>
</file>

<file path=xl/sharedStrings.xml><?xml version="1.0" encoding="utf-8"?>
<sst xmlns="http://schemas.openxmlformats.org/spreadsheetml/2006/main" count="144" uniqueCount="64">
  <si>
    <t>Software Version</t>
  </si>
  <si>
    <t>3.09.07</t>
  </si>
  <si>
    <t>Experiment File Path:</t>
  </si>
  <si>
    <t>C:\Users\Public\Documents\Experiments\liel562prot12012026.xpt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</si>
  <si>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</si>
  <si>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</si>
  <si>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</si>
  <si>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</si>
  <si>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</si>
  <si>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</si>
  <si>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</si>
  <si>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</si>
  <si>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2001311A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</si>
  <si>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</si>
  <si>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</si>
  <si>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</si>
  <si>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</si>
  <si>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</si>
  <si>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</si>
  <si>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</si>
  <si>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</si>
  <si>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</si>
  <si>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562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</si>
  <si>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</si>
  <si>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</si>
  <si>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</si>
  <si>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</si>
  <si>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</si>
  <si>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</si>
  <si>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</si>
  <si>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</si>
  <si>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</si>
  <si>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</si>
  <si>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</si>
  <si>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vile no</t>
  </si>
  <si>
    <t>morph</t>
  </si>
  <si>
    <t>no of planulae</t>
  </si>
  <si>
    <t>prot</t>
  </si>
  <si>
    <t>NF</t>
  </si>
  <si>
    <t>I</t>
  </si>
  <si>
    <t>HF</t>
  </si>
  <si>
    <t>reagent</t>
  </si>
  <si>
    <t>mi</t>
  </si>
  <si>
    <t>ug/ml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</si>
  <si>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</si>
  <si>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</si>
  <si>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</si>
  <si>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</si>
  <si>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</si>
  <si>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</si>
  <si>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</si>
  <si>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</si>
  <si>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</si>
  <si>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VileID</t>
  </si>
  <si>
    <t>OD</t>
  </si>
  <si>
    <t>OD1</t>
  </si>
  <si>
    <t>OD2</t>
  </si>
  <si>
    <t>OD3</t>
  </si>
  <si>
    <t>average od</t>
  </si>
  <si>
    <t>ax^2</t>
  </si>
  <si>
    <t>bx</t>
  </si>
  <si>
    <t>ug/ml per larvae</t>
  </si>
  <si>
    <t>ug/ml per tube</t>
  </si>
  <si>
    <t>ug/ml (diluted by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</si>
</sst>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1"/>
      <color theme="1"/>
      <name val="Times New Roman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5" fillId="1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CaliCurve!$C$1</c:f>
              <c:strCache>
                <c:ptCount val="1"/>
                <c:pt idx="0">
                  <c:v>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2757458442694661"/>
                  <c:y val="-5.56787693205016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</c:trendlineLbl>
          </c:trendline>
          <c:xVal>
            <c:numRef>
              <c:f>CaliCurve!$B$2:$B$28</c:f>
              <c:numCache>
                <c:formatCode>General</c:formatCode>
                <c:ptCount val="27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xVal>
          <c:yVal>
            <c:numRef>
              <c:f>CaliCurve!$C$2:$C$28</c:f>
              <c:numCache>
                <c:formatCode>General</c:formatCode>
                <c:ptCount val="27"/>
                <c:pt idx="0">
                  <c:v>1.119</c:v>
                </c:pt>
                <c:pt idx="1">
                  <c:v>1.1240000000000001</c:v>
                </c:pt>
                <c:pt idx="2">
                  <c:v>1.163</c:v>
                </c:pt>
                <c:pt idx="3">
                  <c:v>0.33600000000000002</c:v>
                </c:pt>
                <c:pt idx="4">
                  <c:v>0.32300000000000001</c:v>
                </c:pt>
                <c:pt idx="5">
                  <c:v>0.32700000000000001</c:v>
                </c:pt>
                <c:pt idx="6">
                  <c:v>0.2</c:v>
                </c:pt>
                <c:pt idx="7">
                  <c:v>0.20200000000000001</c:v>
                </c:pt>
                <c:pt idx="8">
                  <c:v>0.20100000000000001</c:v>
                </c:pt>
                <c:pt idx="9">
                  <c:v>0.13600000000000001</c:v>
                </c:pt>
                <c:pt idx="10">
                  <c:v>0.13300000000000001</c:v>
                </c:pt>
                <c:pt idx="11">
                  <c:v>0.13600000000000001</c:v>
                </c:pt>
                <c:pt idx="12">
                  <c:v>9.6000000000000002E-2</c:v>
                </c:pt>
                <c:pt idx="13">
                  <c:v>9.4E-2</c:v>
                </c:pt>
                <c:pt idx="14">
                  <c:v>0.106</c:v>
                </c:pt>
                <c:pt idx="15">
                  <c:v>8.2000000000000003E-2</c:v>
                </c:pt>
                <c:pt idx="16">
                  <c:v>8.6999999999999994E-2</c:v>
                </c:pt>
                <c:pt idx="17">
                  <c:v>8.7999999999999995E-2</c:v>
                </c:pt>
                <c:pt idx="18">
                  <c:v>7.6999999999999999E-2</c:v>
                </c:pt>
                <c:pt idx="19">
                  <c:v>7.4999999999999997E-2</c:v>
                </c:pt>
                <c:pt idx="20">
                  <c:v>0.08</c:v>
                </c:pt>
                <c:pt idx="21">
                  <c:v>7.5999999999999998E-2</c:v>
                </c:pt>
                <c:pt idx="22">
                  <c:v>7.3999999999999996E-2</c:v>
                </c:pt>
                <c:pt idx="23">
                  <c:v>9.1999999999999998E-2</c:v>
                </c:pt>
                <c:pt idx="24">
                  <c:v>7.5999999999999998E-2</c:v>
                </c:pt>
                <c:pt idx="25">
                  <c:v>7.5999999999999998E-2</c:v>
                </c:pt>
                <c:pt idx="26">
                  <c:v>7.6999999999999999E-2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EA-4114-BDC1-3ACA47003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317248"/>
        <c:axId val="1244324448"/>
      </c:scatterChart>
      <c:valAx>
        <c:axId val="124431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44324448"/>
        <c:crosses val="autoZero"/>
        <c:crossBetween val="midCat"/>
      </c:valAx>
      <c:valAx>
        <c:axId val="12443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4431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boxWhisker" uniqueId="{112200DC-8BBD-46D8-B19E-BD80474320B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510540</xdr:colOff>
      <xdr:row>8</xdr:row>
      <xdr:rowOff>11430</xdr:rowOff>
    </xdr:from>
    <xdr:to>
      <xdr:col>12</xdr:col>
      <xdr:colOff>205740</xdr:colOff>
      <xdr:row>23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D8C6C-D63F-C2EE-41C0-6E9F86828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510539</xdr:colOff>
      <xdr:row>17</xdr:row>
      <xdr:rowOff>91440</xdr:rowOff>
    </xdr:from>
    <xdr:to>
      <xdr:col>3</xdr:col>
      <xdr:colOff>266700</xdr:colOff>
      <xdr:row>20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549641-1EB6-D20D-55E7-E69CDBF09B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49" t="30839" r="12508" b="14025"/>
        <a:stretch>
          <a:fillRect/>
        </a:stretch>
      </xdr:blipFill>
      <xdr:spPr>
        <a:xfrm>
          <a:off x="510539" y="2941320"/>
          <a:ext cx="1584961" cy="449581"/>
        </a:xfrm>
        <a:prstGeom prst="rect">
          <a:avLst/>
        </a:prstGeom>
      </xdr:spPr>
    </xdr:pic>
    <xdr:clientData/>
  </xdr:twoCellAnchor>
  <xdr:twoCellAnchor>
    <xdr:from>
      <xdr:col>9</xdr:col>
      <xdr:colOff>121920</xdr:colOff>
      <xdr:row>14</xdr:row>
      <xdr:rowOff>118110</xdr:rowOff>
    </xdr:from>
    <xdr:to>
      <xdr:col>16</xdr:col>
      <xdr:colOff>426720</xdr:colOff>
      <xdr:row>31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2593153-F82C-D137-8D77-3F94C4D141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8320" y="24650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2"/>
  <sheetViews>
    <sheetView topLeftCell="B10" workbookViewId="0">
      <selection activeCell="C25" sqref="C25:H30"/>
    </sheetView>
  </sheetViews>
  <sheetFormatPr defaultRowHeight="13.2" x14ac:dyDescent="0.25"/>
  <cols>
    <col min="1" max="1" width="20.6640625" customWidth="1"/>
    <col min="2" max="2" width="12.66406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46034</v>
      </c>
    </row>
    <row r="8" spans="1:2" x14ac:dyDescent="0.25">
      <c r="A8" t="s">
        <v>8</v>
      </c>
      <c r="B8" s="2">
        <v>0.60006944444444443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B17" t="s">
        <v>21</v>
      </c>
    </row>
    <row r="18" spans="1:15" x14ac:dyDescent="0.25">
      <c r="B18" t="s">
        <v>22</v>
      </c>
    </row>
    <row r="19" spans="1:15" x14ac:dyDescent="0.25">
      <c r="B19" t="s">
        <v>23</v>
      </c>
    </row>
    <row r="21" spans="1:15" x14ac:dyDescent="0.25">
      <c r="A21" s="3" t="s">
        <v>24</v>
      </c>
      <c r="B21" s="4"/>
    </row>
    <row r="22" spans="1:15" x14ac:dyDescent="0.25">
      <c r="A22" t="s">
        <v>25</v>
      </c>
      <c r="B22">
        <v>24.1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26</v>
      </c>
      <c r="C25" s="7">
        <v>0.69799999999999995</v>
      </c>
      <c r="D25" s="7">
        <v>0.66200000000000003</v>
      </c>
      <c r="E25" s="7">
        <v>0.66500000000000004</v>
      </c>
      <c r="F25" s="8">
        <v>0.84099999999999997</v>
      </c>
      <c r="G25" s="8">
        <v>0.81299999999999994</v>
      </c>
      <c r="H25" s="9">
        <v>0.78200000000000003</v>
      </c>
      <c r="I25" s="10">
        <v>7.5999999999999998E-2</v>
      </c>
      <c r="J25" s="10">
        <v>7.5999999999999998E-2</v>
      </c>
      <c r="K25" s="10">
        <v>7.6999999999999999E-2</v>
      </c>
      <c r="L25" s="11">
        <v>1.119</v>
      </c>
      <c r="M25" s="11">
        <v>1.1240000000000001</v>
      </c>
      <c r="N25" s="12">
        <v>1.163</v>
      </c>
      <c r="O25" s="13">
        <v>562</v>
      </c>
    </row>
    <row r="26" spans="1:15" x14ac:dyDescent="0.25">
      <c r="B26" s="6" t="s">
        <v>27</v>
      </c>
      <c r="C26" s="8">
        <v>0.85299999999999998</v>
      </c>
      <c r="D26" s="9">
        <v>0.73899999999999999</v>
      </c>
      <c r="E26" s="7">
        <v>0.69799999999999995</v>
      </c>
      <c r="F26" s="8">
        <v>0.83</v>
      </c>
      <c r="G26" s="9">
        <v>0.75</v>
      </c>
      <c r="H26" s="7">
        <v>0.67800000000000005</v>
      </c>
      <c r="I26" s="10">
        <v>5.0999999999999997E-2</v>
      </c>
      <c r="J26" s="10">
        <v>4.8000000000000001E-2</v>
      </c>
      <c r="K26" s="10">
        <v>8.2000000000000003E-2</v>
      </c>
      <c r="L26" s="14">
        <v>0.33600000000000002</v>
      </c>
      <c r="M26" s="14">
        <v>0.32300000000000001</v>
      </c>
      <c r="N26" s="14">
        <v>0.32700000000000001</v>
      </c>
      <c r="O26" s="13">
        <v>562</v>
      </c>
    </row>
    <row r="27" spans="1:15" x14ac:dyDescent="0.25">
      <c r="B27" s="6" t="s">
        <v>28</v>
      </c>
      <c r="C27" s="8">
        <v>0.85499999999999998</v>
      </c>
      <c r="D27" s="9">
        <v>0.74399999999999999</v>
      </c>
      <c r="E27" s="9">
        <v>0.749</v>
      </c>
      <c r="F27" s="9">
        <v>0.78</v>
      </c>
      <c r="G27" s="8">
        <v>0.83599999999999997</v>
      </c>
      <c r="H27" s="7">
        <v>0.69299999999999995</v>
      </c>
      <c r="I27" s="10">
        <v>5.6000000000000001E-2</v>
      </c>
      <c r="J27" s="10">
        <v>0.05</v>
      </c>
      <c r="K27" s="10">
        <v>4.8000000000000001E-2</v>
      </c>
      <c r="L27" s="15">
        <v>0.2</v>
      </c>
      <c r="M27" s="15">
        <v>0.20200000000000001</v>
      </c>
      <c r="N27" s="15">
        <v>0.20100000000000001</v>
      </c>
      <c r="O27" s="13">
        <v>562</v>
      </c>
    </row>
    <row r="28" spans="1:15" x14ac:dyDescent="0.25">
      <c r="B28" s="6" t="s">
        <v>29</v>
      </c>
      <c r="C28" s="16">
        <v>0.62</v>
      </c>
      <c r="D28" s="16">
        <v>0.63100000000000001</v>
      </c>
      <c r="E28" s="9">
        <v>0.72</v>
      </c>
      <c r="F28" s="9">
        <v>0.73199999999999998</v>
      </c>
      <c r="G28" s="9">
        <v>0.72899999999999998</v>
      </c>
      <c r="H28" s="7">
        <v>0.71499999999999997</v>
      </c>
      <c r="I28" s="10">
        <v>5.1999999999999998E-2</v>
      </c>
      <c r="J28" s="10">
        <v>4.8000000000000001E-2</v>
      </c>
      <c r="K28" s="10">
        <v>4.8000000000000001E-2</v>
      </c>
      <c r="L28" s="15">
        <v>0.13600000000000001</v>
      </c>
      <c r="M28" s="15">
        <v>0.13300000000000001</v>
      </c>
      <c r="N28" s="15">
        <v>0.13600000000000001</v>
      </c>
      <c r="O28" s="13">
        <v>562</v>
      </c>
    </row>
    <row r="29" spans="1:15" x14ac:dyDescent="0.25">
      <c r="B29" s="6" t="s">
        <v>30</v>
      </c>
      <c r="C29" s="16">
        <v>0.63300000000000001</v>
      </c>
      <c r="D29" s="16">
        <v>0.59499999999999997</v>
      </c>
      <c r="E29" s="16">
        <v>0.55600000000000005</v>
      </c>
      <c r="F29" s="7">
        <v>0.70099999999999996</v>
      </c>
      <c r="G29" s="7">
        <v>0.68</v>
      </c>
      <c r="H29" s="9">
        <v>0.74199999999999999</v>
      </c>
      <c r="I29" s="10">
        <v>0.05</v>
      </c>
      <c r="J29" s="10">
        <v>4.9000000000000002E-2</v>
      </c>
      <c r="K29" s="10">
        <v>4.8000000000000001E-2</v>
      </c>
      <c r="L29" s="10">
        <v>9.6000000000000002E-2</v>
      </c>
      <c r="M29" s="10">
        <v>9.4E-2</v>
      </c>
      <c r="N29" s="10">
        <v>0.106</v>
      </c>
      <c r="O29" s="13">
        <v>562</v>
      </c>
    </row>
    <row r="30" spans="1:15" x14ac:dyDescent="0.25">
      <c r="B30" s="6" t="s">
        <v>31</v>
      </c>
      <c r="C30" s="8">
        <v>0.81599999999999995</v>
      </c>
      <c r="D30" s="9">
        <v>0.76600000000000001</v>
      </c>
      <c r="E30" s="8">
        <v>0.81200000000000006</v>
      </c>
      <c r="F30" s="12">
        <v>1.22</v>
      </c>
      <c r="G30" s="17">
        <v>1.0049999999999999</v>
      </c>
      <c r="H30" s="18">
        <v>0.90300000000000002</v>
      </c>
      <c r="I30" s="10">
        <v>0.05</v>
      </c>
      <c r="J30" s="10">
        <v>4.9000000000000002E-2</v>
      </c>
      <c r="K30" s="10">
        <v>4.8000000000000001E-2</v>
      </c>
      <c r="L30" s="10">
        <v>8.2000000000000003E-2</v>
      </c>
      <c r="M30" s="10">
        <v>8.6999999999999994E-2</v>
      </c>
      <c r="N30" s="10">
        <v>8.7999999999999995E-2</v>
      </c>
      <c r="O30" s="13">
        <v>562</v>
      </c>
    </row>
    <row r="31" spans="1:15" x14ac:dyDescent="0.25">
      <c r="B31" s="6" t="s">
        <v>32</v>
      </c>
      <c r="C31" s="10">
        <v>4.8000000000000001E-2</v>
      </c>
      <c r="D31" s="10">
        <v>0.05</v>
      </c>
      <c r="E31" s="10">
        <v>5.2999999999999999E-2</v>
      </c>
      <c r="F31" s="10">
        <v>5.2999999999999999E-2</v>
      </c>
      <c r="G31" s="10">
        <v>4.8000000000000001E-2</v>
      </c>
      <c r="H31" s="10">
        <v>4.9000000000000002E-2</v>
      </c>
      <c r="I31" s="10">
        <v>4.9000000000000002E-2</v>
      </c>
      <c r="J31" s="10">
        <v>4.7E-2</v>
      </c>
      <c r="K31" s="10">
        <v>4.8000000000000001E-2</v>
      </c>
      <c r="L31" s="10">
        <v>7.6999999999999999E-2</v>
      </c>
      <c r="M31" s="10">
        <v>7.4999999999999997E-2</v>
      </c>
      <c r="N31" s="10">
        <v>0.08</v>
      </c>
      <c r="O31" s="13">
        <v>562</v>
      </c>
    </row>
    <row r="32" spans="1:15" x14ac:dyDescent="0.25">
      <c r="B32" s="6" t="s">
        <v>33</v>
      </c>
      <c r="C32" s="10">
        <v>4.5999999999999999E-2</v>
      </c>
      <c r="D32" s="10">
        <v>5.0999999999999997E-2</v>
      </c>
      <c r="E32" s="10">
        <v>5.5E-2</v>
      </c>
      <c r="F32" s="10">
        <v>0.05</v>
      </c>
      <c r="G32" s="10">
        <v>5.0999999999999997E-2</v>
      </c>
      <c r="H32" s="10">
        <v>4.9000000000000002E-2</v>
      </c>
      <c r="I32" s="10">
        <v>5.1999999999999998E-2</v>
      </c>
      <c r="J32" s="10">
        <v>4.8000000000000001E-2</v>
      </c>
      <c r="K32" s="10">
        <v>4.5999999999999999E-2</v>
      </c>
      <c r="L32" s="10">
        <v>7.5999999999999998E-2</v>
      </c>
      <c r="M32" s="10">
        <v>7.3999999999999996E-2</v>
      </c>
      <c r="N32" s="10">
        <v>9.1999999999999998E-2</v>
      </c>
      <c r="O32" s="13">
        <v>562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98E3-56C8-4B18-AA83-32658710A738}">
  <dimension ref="A1:R21"/>
  <sheetViews>
    <sheetView workbookViewId="0">
      <selection sqref="A1:C13"/>
    </sheetView>
  </sheetViews>
  <sheetFormatPr defaultRowHeight="13.2" x14ac:dyDescent="0.25"/>
  <sheetData>
    <row r="1" spans="1:18" x14ac:dyDescent="0.25">
      <c r="A1" t="s">
        <v>34</v>
      </c>
      <c r="B1" t="s">
        <v>35</v>
      </c>
      <c r="C1" t="s">
        <v>36</v>
      </c>
    </row>
    <row r="2" spans="1:18" x14ac:dyDescent="0.25">
      <c r="A2">
        <v>1</v>
      </c>
      <c r="B2" t="s">
        <v>38</v>
      </c>
      <c r="C2">
        <v>10</v>
      </c>
      <c r="F2" t="s">
        <v>37</v>
      </c>
    </row>
    <row r="3" spans="1:18" x14ac:dyDescent="0.25">
      <c r="A3">
        <v>2</v>
      </c>
      <c r="B3" t="s">
        <v>38</v>
      </c>
      <c r="C3">
        <v>10</v>
      </c>
      <c r="G3">
        <v>1</v>
      </c>
      <c r="H3">
        <v>2</v>
      </c>
      <c r="I3">
        <v>3</v>
      </c>
      <c r="J3">
        <v>4</v>
      </c>
      <c r="K3">
        <v>5</v>
      </c>
      <c r="L3">
        <v>6</v>
      </c>
      <c r="M3">
        <v>7</v>
      </c>
      <c r="N3">
        <v>8</v>
      </c>
      <c r="O3">
        <v>9</v>
      </c>
      <c r="P3">
        <v>10</v>
      </c>
      <c r="Q3">
        <v>11</v>
      </c>
      <c r="R3">
        <v>12</v>
      </c>
    </row>
    <row r="4" spans="1:18" x14ac:dyDescent="0.25">
      <c r="A4">
        <v>3</v>
      </c>
      <c r="B4" t="s">
        <v>38</v>
      </c>
      <c r="C4">
        <v>10</v>
      </c>
      <c r="F4" t="s">
        <v>26</v>
      </c>
      <c r="G4">
        <v>1</v>
      </c>
      <c r="H4">
        <v>1</v>
      </c>
      <c r="I4">
        <v>1</v>
      </c>
      <c r="J4">
        <v>7</v>
      </c>
      <c r="K4">
        <v>7</v>
      </c>
      <c r="L4">
        <v>7</v>
      </c>
      <c r="N4" t="s">
        <v>39</v>
      </c>
      <c r="O4" t="s">
        <v>39</v>
      </c>
      <c r="P4" t="s">
        <v>26</v>
      </c>
      <c r="Q4" t="s">
        <v>26</v>
      </c>
      <c r="R4" t="s">
        <v>26</v>
      </c>
    </row>
    <row r="5" spans="1:18" x14ac:dyDescent="0.25">
      <c r="A5">
        <v>4</v>
      </c>
      <c r="B5" t="s">
        <v>38</v>
      </c>
      <c r="C5">
        <v>10</v>
      </c>
      <c r="F5" t="s">
        <v>27</v>
      </c>
      <c r="G5">
        <v>2</v>
      </c>
      <c r="H5">
        <v>2</v>
      </c>
      <c r="I5">
        <v>2</v>
      </c>
      <c r="J5">
        <v>8</v>
      </c>
      <c r="K5">
        <v>8</v>
      </c>
      <c r="L5">
        <v>8</v>
      </c>
      <c r="P5" t="s">
        <v>27</v>
      </c>
      <c r="Q5" t="s">
        <v>27</v>
      </c>
      <c r="R5" t="s">
        <v>27</v>
      </c>
    </row>
    <row r="6" spans="1:18" x14ac:dyDescent="0.25">
      <c r="A6">
        <v>5</v>
      </c>
      <c r="B6" t="s">
        <v>38</v>
      </c>
      <c r="C6">
        <v>10</v>
      </c>
      <c r="F6" t="s">
        <v>28</v>
      </c>
      <c r="G6">
        <v>3</v>
      </c>
      <c r="H6">
        <v>3</v>
      </c>
      <c r="I6">
        <v>3</v>
      </c>
      <c r="J6">
        <v>9</v>
      </c>
      <c r="K6">
        <v>9</v>
      </c>
      <c r="L6">
        <v>9</v>
      </c>
      <c r="P6" t="s">
        <v>28</v>
      </c>
      <c r="Q6" t="s">
        <v>28</v>
      </c>
      <c r="R6" t="s">
        <v>28</v>
      </c>
    </row>
    <row r="7" spans="1:18" x14ac:dyDescent="0.25">
      <c r="A7">
        <v>6</v>
      </c>
      <c r="B7" t="s">
        <v>38</v>
      </c>
      <c r="C7">
        <v>10</v>
      </c>
      <c r="F7" t="s">
        <v>29</v>
      </c>
      <c r="G7">
        <v>4</v>
      </c>
      <c r="H7">
        <v>4</v>
      </c>
      <c r="I7">
        <v>4</v>
      </c>
      <c r="J7">
        <v>10</v>
      </c>
      <c r="K7">
        <v>10</v>
      </c>
      <c r="L7">
        <v>10</v>
      </c>
      <c r="P7" t="s">
        <v>29</v>
      </c>
      <c r="Q7" t="s">
        <v>29</v>
      </c>
      <c r="R7" t="s">
        <v>29</v>
      </c>
    </row>
    <row r="8" spans="1:18" x14ac:dyDescent="0.25">
      <c r="A8">
        <v>7</v>
      </c>
      <c r="B8" t="s">
        <v>40</v>
      </c>
      <c r="C8">
        <v>10</v>
      </c>
      <c r="F8" t="s">
        <v>30</v>
      </c>
      <c r="G8">
        <v>5</v>
      </c>
      <c r="H8">
        <v>5</v>
      </c>
      <c r="I8">
        <v>5</v>
      </c>
      <c r="J8">
        <v>11</v>
      </c>
      <c r="K8">
        <v>11</v>
      </c>
      <c r="L8">
        <v>11</v>
      </c>
      <c r="P8" t="s">
        <v>30</v>
      </c>
      <c r="Q8" t="s">
        <v>30</v>
      </c>
      <c r="R8" t="s">
        <v>30</v>
      </c>
    </row>
    <row r="9" spans="1:18" x14ac:dyDescent="0.25">
      <c r="A9">
        <v>8</v>
      </c>
      <c r="B9" t="s">
        <v>40</v>
      </c>
      <c r="C9">
        <v>10</v>
      </c>
      <c r="F9" t="s">
        <v>31</v>
      </c>
      <c r="G9">
        <v>6</v>
      </c>
      <c r="H9">
        <v>6</v>
      </c>
      <c r="I9">
        <v>6</v>
      </c>
      <c r="J9">
        <v>12</v>
      </c>
      <c r="K9">
        <v>12</v>
      </c>
      <c r="L9">
        <v>12</v>
      </c>
      <c r="P9" t="s">
        <v>31</v>
      </c>
      <c r="Q9" t="s">
        <v>31</v>
      </c>
      <c r="R9" t="s">
        <v>31</v>
      </c>
    </row>
    <row r="10" spans="1:18" x14ac:dyDescent="0.25">
      <c r="A10">
        <v>9</v>
      </c>
      <c r="B10" t="s">
        <v>40</v>
      </c>
      <c r="C10">
        <v>10</v>
      </c>
      <c r="F10" t="s">
        <v>32</v>
      </c>
      <c r="P10" t="s">
        <v>32</v>
      </c>
      <c r="Q10" t="s">
        <v>32</v>
      </c>
      <c r="R10" t="s">
        <v>32</v>
      </c>
    </row>
    <row r="11" spans="1:18" x14ac:dyDescent="0.25">
      <c r="A11">
        <v>10</v>
      </c>
      <c r="B11" t="s">
        <v>40</v>
      </c>
      <c r="C11">
        <v>10</v>
      </c>
      <c r="F11" t="s">
        <v>33</v>
      </c>
      <c r="P11" t="s">
        <v>33</v>
      </c>
      <c r="Q11" t="s">
        <v>33</v>
      </c>
      <c r="R11" t="s">
        <v>33</v>
      </c>
    </row>
    <row r="12" spans="1:18" x14ac:dyDescent="0.25">
      <c r="A12">
        <v>11</v>
      </c>
      <c r="B12" t="s">
        <v>40</v>
      </c>
      <c r="C12">
        <v>10</v>
      </c>
    </row>
    <row r="13" spans="1:18" x14ac:dyDescent="0.25">
      <c r="A13">
        <v>12</v>
      </c>
      <c r="B13" t="s">
        <v>40</v>
      </c>
      <c r="C13">
        <v>10</v>
      </c>
    </row>
    <row r="18" spans="12:13" x14ac:dyDescent="0.25">
      <c r="L18" t="s">
        <v>41</v>
      </c>
      <c r="M18" t="s">
        <v>42</v>
      </c>
    </row>
    <row r="19" spans="12:13" x14ac:dyDescent="0.25">
      <c r="L19" t="s">
        <v>26</v>
      </c>
      <c r="M19">
        <v>5</v>
      </c>
    </row>
    <row r="20" spans="12:13" x14ac:dyDescent="0.25">
      <c r="L20" t="s">
        <v>27</v>
      </c>
      <c r="M20">
        <v>4.8</v>
      </c>
    </row>
    <row r="21" spans="12:13" x14ac:dyDescent="0.25">
      <c r="L21" t="s">
        <v>28</v>
      </c>
      <c r="M21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D3CE-E205-4725-B6C0-0C0A0480A808}">
  <dimension ref="A1:C28"/>
  <sheetViews>
    <sheetView topLeftCell="A4" workbookViewId="0">
      <selection activeCell="O17" sqref="O17"/>
    </sheetView>
  </sheetViews>
  <sheetFormatPr defaultRowHeight="13.2" x14ac:dyDescent="0.25"/>
  <sheetData>
    <row r="1" spans="1:3" ht="13.8" x14ac:dyDescent="0.25">
      <c r="A1" s="20" t="s">
        <v>53</v>
      </c>
      <c r="B1" s="19" t="s">
        <v>43</v>
      </c>
      <c r="C1" t="s">
        <v>54</v>
      </c>
    </row>
    <row r="2" spans="1:3" ht="13.8" x14ac:dyDescent="0.25">
      <c r="A2" s="20" t="s">
        <v>44</v>
      </c>
      <c r="B2" s="19">
        <v>200</v>
      </c>
      <c r="C2" s="11">
        <v>1.119</v>
      </c>
    </row>
    <row r="3" spans="1:3" ht="13.8" x14ac:dyDescent="0.25">
      <c r="A3" s="20" t="s">
        <v>44</v>
      </c>
      <c r="B3" s="19">
        <v>200</v>
      </c>
      <c r="C3" s="11">
        <v>1.1240000000000001</v>
      </c>
    </row>
    <row r="4" spans="1:3" ht="13.8" x14ac:dyDescent="0.25">
      <c r="A4" s="20" t="s">
        <v>44</v>
      </c>
      <c r="B4" s="19">
        <v>200</v>
      </c>
      <c r="C4" s="12">
        <v>1.163</v>
      </c>
    </row>
    <row r="5" spans="1:3" ht="13.8" x14ac:dyDescent="0.25">
      <c r="A5" s="20" t="s">
        <v>45</v>
      </c>
      <c r="B5" s="19">
        <v>40</v>
      </c>
      <c r="C5" s="14">
        <v>0.33600000000000002</v>
      </c>
    </row>
    <row r="6" spans="1:3" ht="13.8" x14ac:dyDescent="0.25">
      <c r="A6" s="20" t="s">
        <v>45</v>
      </c>
      <c r="B6" s="19">
        <v>40</v>
      </c>
      <c r="C6" s="14">
        <v>0.32300000000000001</v>
      </c>
    </row>
    <row r="7" spans="1:3" ht="13.8" x14ac:dyDescent="0.25">
      <c r="A7" s="20" t="s">
        <v>45</v>
      </c>
      <c r="B7" s="19">
        <v>40</v>
      </c>
      <c r="C7" s="14">
        <v>0.32700000000000001</v>
      </c>
    </row>
    <row r="8" spans="1:3" ht="13.8" x14ac:dyDescent="0.25">
      <c r="A8" s="20" t="s">
        <v>46</v>
      </c>
      <c r="B8" s="20">
        <v>20</v>
      </c>
      <c r="C8" s="15">
        <v>0.2</v>
      </c>
    </row>
    <row r="9" spans="1:3" ht="13.8" x14ac:dyDescent="0.25">
      <c r="A9" s="20" t="s">
        <v>46</v>
      </c>
      <c r="B9" s="20">
        <v>20</v>
      </c>
      <c r="C9" s="15">
        <v>0.20200000000000001</v>
      </c>
    </row>
    <row r="10" spans="1:3" ht="13.8" x14ac:dyDescent="0.25">
      <c r="A10" s="20" t="s">
        <v>46</v>
      </c>
      <c r="B10" s="20">
        <v>20</v>
      </c>
      <c r="C10" s="15">
        <v>0.20100000000000001</v>
      </c>
    </row>
    <row r="11" spans="1:3" ht="13.8" x14ac:dyDescent="0.25">
      <c r="A11" s="20" t="s">
        <v>47</v>
      </c>
      <c r="B11" s="20">
        <v>10</v>
      </c>
      <c r="C11" s="15">
        <v>0.13600000000000001</v>
      </c>
    </row>
    <row r="12" spans="1:3" ht="13.8" x14ac:dyDescent="0.25">
      <c r="A12" s="20" t="s">
        <v>47</v>
      </c>
      <c r="B12" s="21">
        <v>10</v>
      </c>
      <c r="C12" s="15">
        <v>0.13300000000000001</v>
      </c>
    </row>
    <row r="13" spans="1:3" ht="13.8" x14ac:dyDescent="0.25">
      <c r="A13" s="20" t="s">
        <v>47</v>
      </c>
      <c r="B13" s="21">
        <v>10</v>
      </c>
      <c r="C13" s="15">
        <v>0.13600000000000001</v>
      </c>
    </row>
    <row r="14" spans="1:3" ht="13.8" x14ac:dyDescent="0.25">
      <c r="A14" s="20" t="s">
        <v>48</v>
      </c>
      <c r="B14" s="21">
        <v>5</v>
      </c>
      <c r="C14" s="10">
        <v>9.6000000000000002E-2</v>
      </c>
    </row>
    <row r="15" spans="1:3" ht="13.8" x14ac:dyDescent="0.25">
      <c r="A15" s="20" t="s">
        <v>48</v>
      </c>
      <c r="B15" s="21">
        <v>5</v>
      </c>
      <c r="C15" s="10">
        <v>9.4E-2</v>
      </c>
    </row>
    <row r="16" spans="1:3" ht="13.8" x14ac:dyDescent="0.25">
      <c r="A16" s="20" t="s">
        <v>48</v>
      </c>
      <c r="B16" s="21">
        <v>5</v>
      </c>
      <c r="C16" s="10">
        <v>0.106</v>
      </c>
    </row>
    <row r="17" spans="1:3" ht="13.8" x14ac:dyDescent="0.25">
      <c r="A17" s="20" t="s">
        <v>49</v>
      </c>
      <c r="B17" s="21">
        <v>2.5</v>
      </c>
      <c r="C17" s="10">
        <v>8.2000000000000003E-2</v>
      </c>
    </row>
    <row r="18" spans="1:3" ht="13.8" x14ac:dyDescent="0.25">
      <c r="A18" s="20" t="s">
        <v>49</v>
      </c>
      <c r="B18" s="21">
        <v>2.5</v>
      </c>
      <c r="C18" s="10">
        <v>8.6999999999999994E-2</v>
      </c>
    </row>
    <row r="19" spans="1:3" ht="13.8" x14ac:dyDescent="0.25">
      <c r="A19" s="20" t="s">
        <v>49</v>
      </c>
      <c r="B19" s="21">
        <v>2.5</v>
      </c>
      <c r="C19" s="10">
        <v>8.7999999999999995E-2</v>
      </c>
    </row>
    <row r="20" spans="1:3" ht="13.8" x14ac:dyDescent="0.25">
      <c r="A20" s="20" t="s">
        <v>50</v>
      </c>
      <c r="B20" s="21">
        <v>1</v>
      </c>
      <c r="C20" s="10">
        <v>7.6999999999999999E-2</v>
      </c>
    </row>
    <row r="21" spans="1:3" ht="13.8" x14ac:dyDescent="0.25">
      <c r="A21" s="20" t="s">
        <v>50</v>
      </c>
      <c r="B21" s="21">
        <v>1</v>
      </c>
      <c r="C21" s="10">
        <v>7.4999999999999997E-2</v>
      </c>
    </row>
    <row r="22" spans="1:3" ht="13.8" x14ac:dyDescent="0.25">
      <c r="A22" s="20" t="s">
        <v>50</v>
      </c>
      <c r="B22" s="21">
        <v>1</v>
      </c>
      <c r="C22" s="10">
        <v>0.08</v>
      </c>
    </row>
    <row r="23" spans="1:3" ht="13.8" x14ac:dyDescent="0.25">
      <c r="A23" s="20" t="s">
        <v>51</v>
      </c>
      <c r="B23" s="21">
        <v>0.5</v>
      </c>
      <c r="C23" s="10">
        <v>7.5999999999999998E-2</v>
      </c>
    </row>
    <row r="24" spans="1:3" ht="13.8" x14ac:dyDescent="0.25">
      <c r="A24" s="20" t="s">
        <v>51</v>
      </c>
      <c r="B24" s="21">
        <v>0.5</v>
      </c>
      <c r="C24" s="10">
        <v>7.3999999999999996E-2</v>
      </c>
    </row>
    <row r="25" spans="1:3" ht="13.8" x14ac:dyDescent="0.25">
      <c r="A25" s="20" t="s">
        <v>51</v>
      </c>
      <c r="B25" s="21">
        <v>0.5</v>
      </c>
      <c r="C25" s="10">
        <v>9.1999999999999998E-2</v>
      </c>
    </row>
    <row r="26" spans="1:3" ht="13.8" x14ac:dyDescent="0.25">
      <c r="A26" s="20" t="s">
        <v>52</v>
      </c>
      <c r="B26" s="21">
        <v>0</v>
      </c>
      <c r="C26" s="10">
        <v>7.5999999999999998E-2</v>
      </c>
    </row>
    <row r="27" spans="1:3" ht="13.8" x14ac:dyDescent="0.25">
      <c r="A27" s="20" t="s">
        <v>52</v>
      </c>
      <c r="B27" s="21">
        <v>0</v>
      </c>
      <c r="C27" s="10">
        <v>7.5999999999999998E-2</v>
      </c>
    </row>
    <row r="28" spans="1:3" ht="13.8" x14ac:dyDescent="0.25">
      <c r="A28" s="20" t="s">
        <v>52</v>
      </c>
      <c r="B28" s="21">
        <v>0</v>
      </c>
      <c r="C28" s="10">
        <v>7.6999999999999999E-2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0965-A59A-4BF7-8B3D-ADF4C8B3CA97}">
  <dimension ref="A1:K24"/>
  <sheetViews>
    <sheetView tabSelected="1" workbookViewId="0">
      <selection activeCell="K1" sqref="A1:K13"/>
    </sheetView>
  </sheetViews>
  <sheetFormatPr defaultRowHeight="13.2" x14ac:dyDescent="0.25"/>
  <cols>
    <col min="1" max="2" width="8.88671875" style="21"/>
  </cols>
  <sheetData>
    <row r="1" spans="1:11" x14ac:dyDescent="0.25">
      <c r="A1" t="s">
        <v>34</v>
      </c>
      <c r="B1" t="s">
        <v>35</v>
      </c>
      <c r="C1" t="s">
        <v>36</v>
      </c>
      <c r="E1" t="s">
        <v>55</v>
      </c>
      <c r="F1" t="s">
        <v>56</v>
      </c>
      <c r="G1" t="s">
        <v>57</v>
      </c>
      <c r="H1" t="s">
        <v>58</v>
      </c>
      <c r="I1" t="s">
        <v>63</v>
      </c>
      <c r="J1" t="s">
        <v>62</v>
      </c>
      <c r="K1" t="s">
        <v>61</v>
      </c>
    </row>
    <row r="2" spans="1:11" x14ac:dyDescent="0.25">
      <c r="A2">
        <v>1</v>
      </c>
      <c r="B2" t="s">
        <v>38</v>
      </c>
      <c r="C2">
        <v>10</v>
      </c>
      <c r="E2" s="7">
        <v>0.69799999999999995</v>
      </c>
      <c r="F2" s="7">
        <v>0.66200000000000003</v>
      </c>
      <c r="G2" s="7">
        <v>0.66500000000000004</v>
      </c>
      <c r="H2">
        <f>AVERAGE(E2:G2)</f>
        <v>0.67499999999999993</v>
      </c>
      <c r="I2">
        <f>(-0.0066 + SQRT(0.0066^2 - 4*(-0.000007)*(0.0716 - H2))) / (2*(-0.000007))</f>
        <v>102.585924817332</v>
      </c>
      <c r="J2">
        <f>I2*4</f>
        <v>410.343699269328</v>
      </c>
      <c r="K2">
        <f>J2/10</f>
        <v>41.034369926932797</v>
      </c>
    </row>
    <row r="3" spans="1:11" x14ac:dyDescent="0.25">
      <c r="A3">
        <v>2</v>
      </c>
      <c r="B3" t="s">
        <v>38</v>
      </c>
      <c r="C3">
        <v>10</v>
      </c>
      <c r="D3" s="8">
        <v>0.85299999999999998</v>
      </c>
      <c r="F3" s="9">
        <v>0.73899999999999999</v>
      </c>
      <c r="G3" s="7">
        <v>0.69799999999999995</v>
      </c>
      <c r="H3">
        <f>AVERAGE(D3:G3)</f>
        <v>0.76333333333333331</v>
      </c>
      <c r="I3">
        <f t="shared" ref="I3:I13" si="0">(-0.0066 + SQRT(0.0066^2 - 4*(-0.000007)*(0.0716 - H3))) / (2*(-0.000007))</f>
        <v>120.10841780778065</v>
      </c>
      <c r="J3">
        <f t="shared" ref="J3:J13" si="1">I3*4</f>
        <v>480.43367123112262</v>
      </c>
      <c r="K3">
        <f>J3/10</f>
        <v>48.043367123112262</v>
      </c>
    </row>
    <row r="4" spans="1:11" x14ac:dyDescent="0.25">
      <c r="A4">
        <v>3</v>
      </c>
      <c r="B4" t="s">
        <v>38</v>
      </c>
      <c r="C4">
        <v>10</v>
      </c>
      <c r="D4" s="8">
        <v>0.85499999999999998</v>
      </c>
      <c r="F4" s="9">
        <v>0.74399999999999999</v>
      </c>
      <c r="G4" s="9">
        <v>0.749</v>
      </c>
      <c r="H4">
        <f>AVERAGE(D4:G4)</f>
        <v>0.78266666666666662</v>
      </c>
      <c r="I4">
        <f t="shared" si="0"/>
        <v>124.06140893586932</v>
      </c>
      <c r="J4">
        <f t="shared" si="1"/>
        <v>496.24563574347729</v>
      </c>
      <c r="K4">
        <f>J4/10</f>
        <v>49.624563574347732</v>
      </c>
    </row>
    <row r="5" spans="1:11" x14ac:dyDescent="0.25">
      <c r="A5">
        <v>4</v>
      </c>
      <c r="B5" t="s">
        <v>38</v>
      </c>
      <c r="C5">
        <v>10</v>
      </c>
      <c r="D5" s="9">
        <v>0.72</v>
      </c>
      <c r="E5" s="16">
        <v>0.62</v>
      </c>
      <c r="F5" s="16">
        <v>0.63100000000000001</v>
      </c>
      <c r="H5">
        <f t="shared" ref="H3:H13" si="2">AVERAGE(E5:G5)</f>
        <v>0.62549999999999994</v>
      </c>
      <c r="I5">
        <f t="shared" si="0"/>
        <v>93.121386021510659</v>
      </c>
      <c r="J5">
        <f t="shared" si="1"/>
        <v>372.48554408604264</v>
      </c>
      <c r="K5">
        <f>J5/10</f>
        <v>37.248554408604264</v>
      </c>
    </row>
    <row r="6" spans="1:11" x14ac:dyDescent="0.25">
      <c r="A6">
        <v>5</v>
      </c>
      <c r="B6" t="s">
        <v>38</v>
      </c>
      <c r="C6">
        <v>10</v>
      </c>
      <c r="E6" s="16">
        <v>0.63300000000000001</v>
      </c>
      <c r="F6" s="16">
        <v>0.59499999999999997</v>
      </c>
      <c r="G6" s="16">
        <v>0.55600000000000005</v>
      </c>
      <c r="H6">
        <f t="shared" si="2"/>
        <v>0.59466666666666668</v>
      </c>
      <c r="I6">
        <f t="shared" si="0"/>
        <v>87.34383021203449</v>
      </c>
      <c r="J6">
        <f t="shared" si="1"/>
        <v>349.37532084813796</v>
      </c>
      <c r="K6">
        <f>J6/10</f>
        <v>34.937532084813796</v>
      </c>
    </row>
    <row r="7" spans="1:11" x14ac:dyDescent="0.25">
      <c r="A7">
        <v>6</v>
      </c>
      <c r="B7" t="s">
        <v>38</v>
      </c>
      <c r="C7">
        <v>10</v>
      </c>
      <c r="E7" s="8">
        <v>0.81599999999999995</v>
      </c>
      <c r="F7" s="9">
        <v>0.76600000000000001</v>
      </c>
      <c r="G7" s="8">
        <v>0.81200000000000006</v>
      </c>
      <c r="H7">
        <f t="shared" si="2"/>
        <v>0.79800000000000004</v>
      </c>
      <c r="I7">
        <f t="shared" si="0"/>
        <v>127.22881926748242</v>
      </c>
      <c r="J7">
        <f t="shared" si="1"/>
        <v>508.91527706992969</v>
      </c>
      <c r="K7">
        <f>J7/10</f>
        <v>50.891527706992967</v>
      </c>
    </row>
    <row r="8" spans="1:11" x14ac:dyDescent="0.25">
      <c r="A8">
        <v>7</v>
      </c>
      <c r="B8" t="s">
        <v>40</v>
      </c>
      <c r="C8">
        <v>10</v>
      </c>
      <c r="E8" s="8">
        <v>0.84099999999999997</v>
      </c>
      <c r="F8" s="8">
        <v>0.81299999999999994</v>
      </c>
      <c r="G8" s="9">
        <v>0.78200000000000003</v>
      </c>
      <c r="H8">
        <f t="shared" si="2"/>
        <v>0.81199999999999994</v>
      </c>
      <c r="I8">
        <f t="shared" si="0"/>
        <v>130.14647493396319</v>
      </c>
      <c r="J8">
        <f t="shared" si="1"/>
        <v>520.58589973585276</v>
      </c>
      <c r="K8">
        <f>J8/10</f>
        <v>52.058589973585278</v>
      </c>
    </row>
    <row r="9" spans="1:11" x14ac:dyDescent="0.25">
      <c r="A9">
        <v>8</v>
      </c>
      <c r="B9" t="s">
        <v>40</v>
      </c>
      <c r="C9">
        <v>10</v>
      </c>
      <c r="E9" s="8">
        <v>0.83</v>
      </c>
      <c r="F9" s="9">
        <v>0.75</v>
      </c>
      <c r="G9" s="7">
        <v>0.67800000000000005</v>
      </c>
      <c r="H9">
        <f t="shared" si="2"/>
        <v>0.75266666666666671</v>
      </c>
      <c r="I9">
        <f t="shared" si="0"/>
        <v>117.94637970748127</v>
      </c>
      <c r="J9">
        <f t="shared" si="1"/>
        <v>471.78551882992508</v>
      </c>
      <c r="K9">
        <f>J9/10</f>
        <v>47.178551882992508</v>
      </c>
    </row>
    <row r="10" spans="1:11" x14ac:dyDescent="0.25">
      <c r="A10">
        <v>9</v>
      </c>
      <c r="B10" t="s">
        <v>40</v>
      </c>
      <c r="C10">
        <v>10</v>
      </c>
      <c r="E10" s="9">
        <v>0.78</v>
      </c>
      <c r="F10" s="8">
        <v>0.83599999999999997</v>
      </c>
      <c r="G10" s="7">
        <v>0.69299999999999995</v>
      </c>
      <c r="H10">
        <f t="shared" si="2"/>
        <v>0.76966666666666672</v>
      </c>
      <c r="I10">
        <f t="shared" si="0"/>
        <v>121.398446388777</v>
      </c>
      <c r="J10">
        <f t="shared" si="1"/>
        <v>485.59378555510801</v>
      </c>
      <c r="K10">
        <f>J10/10</f>
        <v>48.559378555510804</v>
      </c>
    </row>
    <row r="11" spans="1:11" x14ac:dyDescent="0.25">
      <c r="A11">
        <v>10</v>
      </c>
      <c r="B11" t="s">
        <v>40</v>
      </c>
      <c r="C11">
        <v>10</v>
      </c>
      <c r="E11" s="9">
        <v>0.73199999999999998</v>
      </c>
      <c r="F11" s="9">
        <v>0.72899999999999998</v>
      </c>
      <c r="G11" s="7">
        <v>0.71499999999999997</v>
      </c>
      <c r="H11">
        <f t="shared" si="2"/>
        <v>0.72533333333333327</v>
      </c>
      <c r="I11">
        <f t="shared" si="0"/>
        <v>112.46559037243593</v>
      </c>
      <c r="J11">
        <f t="shared" si="1"/>
        <v>449.86236148974371</v>
      </c>
      <c r="K11">
        <f>J11/10</f>
        <v>44.986236148974371</v>
      </c>
    </row>
    <row r="12" spans="1:11" x14ac:dyDescent="0.25">
      <c r="A12">
        <v>11</v>
      </c>
      <c r="B12" t="s">
        <v>40</v>
      </c>
      <c r="C12">
        <v>10</v>
      </c>
      <c r="E12" s="7">
        <v>0.70099999999999996</v>
      </c>
      <c r="F12" s="7">
        <v>0.68</v>
      </c>
      <c r="G12" s="9">
        <v>0.74199999999999999</v>
      </c>
      <c r="H12">
        <f t="shared" si="2"/>
        <v>0.70766666666666678</v>
      </c>
      <c r="I12">
        <f t="shared" si="0"/>
        <v>108.96721998194207</v>
      </c>
      <c r="J12">
        <f t="shared" si="1"/>
        <v>435.86887992776826</v>
      </c>
      <c r="K12">
        <f>J12/10</f>
        <v>43.586887992776823</v>
      </c>
    </row>
    <row r="13" spans="1:11" x14ac:dyDescent="0.25">
      <c r="A13">
        <v>12</v>
      </c>
      <c r="B13" t="s">
        <v>40</v>
      </c>
      <c r="C13">
        <v>10</v>
      </c>
      <c r="D13" s="12">
        <v>1.22</v>
      </c>
      <c r="F13" s="17">
        <v>1.0049999999999999</v>
      </c>
      <c r="G13" s="18">
        <v>0.90300000000000002</v>
      </c>
      <c r="H13">
        <f t="shared" si="2"/>
        <v>0.95399999999999996</v>
      </c>
      <c r="I13">
        <f t="shared" si="0"/>
        <v>161.28706323909864</v>
      </c>
      <c r="J13">
        <f t="shared" si="1"/>
        <v>645.14825295639457</v>
      </c>
      <c r="K13">
        <f>J13/10</f>
        <v>64.514825295639454</v>
      </c>
    </row>
    <row r="22" spans="2:2" x14ac:dyDescent="0.25">
      <c r="B22" t="s">
        <v>59</v>
      </c>
    </row>
    <row r="23" spans="2:2" x14ac:dyDescent="0.25">
      <c r="B23" s="21" t="s">
        <v>60</v>
      </c>
    </row>
    <row r="24" spans="2:2" x14ac:dyDescent="0.25">
      <c r="B24" s="21" t="s">
        <v>46</v>
      </c>
    </row>
  </sheetData>
  <conditionalFormatting sqref="E2:G2 E6:G12 E5:F5 F3:G4 D3:D5 D13 F13:G1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loadout</vt:lpstr>
      <vt:lpstr>CaliCurve</vt:lpstr>
      <vt:lpstr>calculates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Liel Uziahu</cp:lastModifiedBy>
  <dcterms:created xsi:type="dcterms:W3CDTF">2011-01-18T20:51:17Z</dcterms:created>
  <dcterms:modified xsi:type="dcterms:W3CDTF">2026-01-13T08:49:48Z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